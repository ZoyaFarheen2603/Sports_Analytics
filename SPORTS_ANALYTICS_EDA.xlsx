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7.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8.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1"/>
  <workbookPr hidePivotFieldList="1" defaultThemeVersion="166925"/>
  <xr:revisionPtr revIDLastSave="0" documentId="8_{4020E8E8-2CEA-4E53-9E62-975B293B12B1}" xr6:coauthVersionLast="47" xr6:coauthVersionMax="47" xr10:uidLastSave="{00000000-0000-0000-0000-000000000000}"/>
  <bookViews>
    <workbookView xWindow="240" yWindow="105" windowWidth="14805" windowHeight="8010" xr2:uid="{00000000-000D-0000-FFFF-FFFF00000000}"/>
  </bookViews>
  <sheets>
    <sheet name="Overview" sheetId="19" r:id="rId1"/>
    <sheet name="Question-1" sheetId="1" r:id="rId2"/>
    <sheet name="Question-2" sheetId="2" r:id="rId3"/>
    <sheet name="Question-3" sheetId="3" r:id="rId4"/>
    <sheet name="Question-4" sheetId="4" r:id="rId5"/>
    <sheet name="Question-5" sheetId="5" r:id="rId6"/>
    <sheet name="Question-6" sheetId="6" r:id="rId7"/>
    <sheet name="Question-7" sheetId="7" r:id="rId8"/>
    <sheet name="Question-8" sheetId="8" r:id="rId9"/>
    <sheet name="Question-9" sheetId="9" r:id="rId10"/>
    <sheet name="Question-10" sheetId="10" r:id="rId11"/>
    <sheet name="Question-11" sheetId="11" r:id="rId12"/>
    <sheet name="Question-12" sheetId="12" r:id="rId13"/>
    <sheet name="Question-13" sheetId="13" r:id="rId14"/>
    <sheet name="Question-14" sheetId="14" r:id="rId15"/>
    <sheet name="Question-15" sheetId="15" r:id="rId16"/>
    <sheet name="Question-16" sheetId="16" r:id="rId17"/>
    <sheet name="Question-17" sheetId="17" r:id="rId18"/>
    <sheet name="Question-18" sheetId="18" r:id="rId19"/>
  </sheets>
  <calcPr calcId="191028"/>
  <pivotCaches>
    <pivotCache cacheId="322"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5" i="17" l="1"/>
  <c r="L6" i="17"/>
  <c r="L7" i="17"/>
  <c r="L8" i="17"/>
  <c r="L9" i="17"/>
  <c r="L10" i="17"/>
  <c r="L11" i="17"/>
  <c r="L12" i="17"/>
  <c r="L13" i="17"/>
  <c r="L14" i="17"/>
  <c r="L15" i="17"/>
  <c r="L16" i="17"/>
  <c r="L17" i="17"/>
  <c r="L18" i="17"/>
  <c r="L19" i="17"/>
  <c r="L20" i="17"/>
  <c r="L21" i="17"/>
  <c r="L22" i="17"/>
  <c r="L23" i="17"/>
  <c r="L4" i="17"/>
  <c r="L5" i="15"/>
  <c r="L6" i="15"/>
  <c r="L7" i="15"/>
  <c r="L8" i="15"/>
  <c r="L9" i="15"/>
  <c r="L10" i="15"/>
  <c r="L11" i="15"/>
  <c r="L12" i="15"/>
  <c r="L13" i="15"/>
  <c r="L14" i="15"/>
  <c r="L15" i="15"/>
  <c r="L16" i="15"/>
  <c r="L17" i="15"/>
  <c r="L18" i="15"/>
  <c r="L4" i="15"/>
  <c r="L5" i="14"/>
  <c r="L6" i="14"/>
  <c r="L7" i="14"/>
  <c r="L8" i="14"/>
  <c r="L9" i="14"/>
  <c r="L10" i="14"/>
  <c r="L11" i="14"/>
  <c r="L12" i="14"/>
  <c r="L13" i="14"/>
  <c r="L14" i="14"/>
  <c r="L15" i="14"/>
  <c r="L16" i="14"/>
  <c r="L17" i="14"/>
  <c r="L18" i="14"/>
  <c r="L4" i="14"/>
  <c r="L5" i="11"/>
  <c r="L6" i="11"/>
  <c r="L7" i="11"/>
  <c r="L8" i="11"/>
  <c r="L9" i="11"/>
  <c r="L10" i="11"/>
  <c r="L11" i="11"/>
  <c r="L12" i="11"/>
  <c r="L13" i="11"/>
  <c r="L14" i="11"/>
  <c r="L15" i="11"/>
  <c r="L16" i="11"/>
  <c r="L17" i="11"/>
  <c r="L18" i="11"/>
  <c r="L4" i="11"/>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4" i="9"/>
  <c r="L11" i="8"/>
  <c r="L5" i="8"/>
  <c r="L6" i="8"/>
  <c r="L7" i="8"/>
  <c r="L8" i="8"/>
  <c r="L9" i="8"/>
  <c r="L10" i="8"/>
  <c r="L4" i="8"/>
  <c r="M24" i="7"/>
  <c r="M59" i="7"/>
  <c r="M14" i="7"/>
  <c r="M15" i="7"/>
  <c r="M4" i="7"/>
  <c r="M31" i="7"/>
  <c r="M60" i="7"/>
  <c r="M41" i="7"/>
  <c r="M61" i="7"/>
  <c r="M42" i="7"/>
  <c r="M19" i="7"/>
  <c r="M34" i="7"/>
  <c r="M21" i="7"/>
  <c r="M12" i="7"/>
  <c r="M62" i="7"/>
  <c r="M43" i="7"/>
  <c r="M10" i="7"/>
  <c r="M44" i="7"/>
  <c r="M7" i="7"/>
  <c r="M25" i="7"/>
  <c r="M22" i="7"/>
  <c r="M17" i="7"/>
  <c r="M32" i="7"/>
  <c r="M45" i="7"/>
  <c r="M26" i="7"/>
  <c r="M38" i="7"/>
  <c r="M11" i="7"/>
  <c r="M46" i="7"/>
  <c r="M47" i="7"/>
  <c r="M48" i="7"/>
  <c r="M63" i="7"/>
  <c r="M18" i="7"/>
  <c r="M64" i="7"/>
  <c r="M35" i="7"/>
  <c r="M65" i="7"/>
  <c r="M39" i="7"/>
  <c r="M49" i="7"/>
  <c r="M36" i="7"/>
  <c r="M66" i="7"/>
  <c r="M56" i="7"/>
  <c r="M40" i="7"/>
  <c r="M67" i="7"/>
  <c r="M13" i="7"/>
  <c r="M68" i="7"/>
  <c r="M50" i="7"/>
  <c r="M8" i="7"/>
  <c r="M5" i="7"/>
  <c r="M27" i="7"/>
  <c r="M51" i="7"/>
  <c r="M37" i="7"/>
  <c r="M23" i="7"/>
  <c r="M57" i="7"/>
  <c r="M20" i="7"/>
  <c r="M6" i="7"/>
  <c r="M33" i="7"/>
  <c r="M30" i="7"/>
  <c r="M28" i="7"/>
  <c r="M29" i="7"/>
  <c r="M52" i="7"/>
  <c r="M53" i="7"/>
  <c r="M69" i="7"/>
  <c r="M54" i="7"/>
  <c r="M55" i="7"/>
  <c r="M16" i="7"/>
  <c r="M9" i="7"/>
  <c r="M58" i="7"/>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13" i="2"/>
</calcChain>
</file>

<file path=xl/sharedStrings.xml><?xml version="1.0" encoding="utf-8"?>
<sst xmlns="http://schemas.openxmlformats.org/spreadsheetml/2006/main" count="4310" uniqueCount="1110">
  <si>
    <t>📊 Sports Analytics EDA — Overall Overview</t>
  </si>
  <si>
    <r>
      <rPr>
        <b/>
        <sz val="14"/>
        <color rgb="FF000000"/>
        <rFont val="Calibri"/>
        <scheme val="minor"/>
      </rPr>
      <t xml:space="preserve">Objective: </t>
    </r>
    <r>
      <rPr>
        <sz val="14"/>
        <color rgb="FF000000"/>
        <rFont val="Calibri"/>
        <scheme val="minor"/>
      </rPr>
      <t>To analyze Olympic participation, sports, events, regional performance, and medal trends using historical Olympic data and identify important patterns across Games editions.</t>
    </r>
  </si>
  <si>
    <t>Key areas covered</t>
  </si>
  <si>
    <t>Area</t>
  </si>
  <si>
    <t>Questions</t>
  </si>
  <si>
    <t>What was analyzed</t>
  </si>
  <si>
    <r>
      <t xml:space="preserve">🏟️ </t>
    </r>
    <r>
      <rPr>
        <b/>
        <sz val="14"/>
        <color theme="1"/>
        <rFont val="Calibri"/>
        <family val="2"/>
        <scheme val="minor"/>
      </rPr>
      <t>Olympic Games &amp; Participation</t>
    </r>
  </si>
  <si>
    <t>Q1–Q3</t>
  </si>
  <si>
    <t>Games frequency, gaps between editions, and participant growth</t>
  </si>
  <si>
    <r>
      <t xml:space="preserve">🏃 </t>
    </r>
    <r>
      <rPr>
        <b/>
        <sz val="14"/>
        <color theme="1"/>
        <rFont val="Calibri"/>
        <family val="2"/>
        <scheme val="minor"/>
      </rPr>
      <t>Sports &amp; Events</t>
    </r>
  </si>
  <si>
    <t>Q4–Q8</t>
  </si>
  <si>
    <t>Introduction of sports, participation by sport, regions involved, event categories and newly introduced events</t>
  </si>
  <si>
    <r>
      <t xml:space="preserve">📏 </t>
    </r>
    <r>
      <rPr>
        <b/>
        <sz val="14"/>
        <color theme="1"/>
        <rFont val="Calibri"/>
        <family val="2"/>
        <scheme val="minor"/>
      </rPr>
      <t>Athlete Characteristics</t>
    </r>
  </si>
  <si>
    <t>Q9–Q10</t>
  </si>
  <si>
    <t>Discontinued events and height/weight trends</t>
  </si>
  <si>
    <r>
      <t xml:space="preserve">🥇 </t>
    </r>
    <r>
      <rPr>
        <b/>
        <sz val="14"/>
        <color theme="1"/>
        <rFont val="Calibri"/>
        <family val="2"/>
        <scheme val="minor"/>
      </rPr>
      <t>Medal Performance</t>
    </r>
  </si>
  <si>
    <t>Q11–Q15</t>
  </si>
  <si>
    <t>Dominant sport-region combinations, medal success, consistency and surprising wins</t>
  </si>
  <si>
    <r>
      <t xml:space="preserve">🌍 </t>
    </r>
    <r>
      <rPr>
        <b/>
        <sz val="14"/>
        <color theme="1"/>
        <rFont val="Calibri"/>
        <family val="2"/>
        <scheme val="minor"/>
      </rPr>
      <t>Regional Participation</t>
    </r>
  </si>
  <si>
    <t>Q16–Q17</t>
  </si>
  <si>
    <t>Growth/decline in participation and regional specialization</t>
  </si>
  <si>
    <r>
      <t xml:space="preserve">🏆 </t>
    </r>
    <r>
      <rPr>
        <b/>
        <sz val="14"/>
        <color theme="1"/>
        <rFont val="Calibri"/>
        <family val="2"/>
        <scheme val="minor"/>
      </rPr>
      <t>Overall Medal Contribution</t>
    </r>
  </si>
  <si>
    <t>Q18</t>
  </si>
  <si>
    <t>Countries/regions with the largest overall medal contribution</t>
  </si>
  <si>
    <t>🔎 Overall Findings</t>
  </si>
  <si>
    <r>
      <t xml:space="preserve">Olympic participation has </t>
    </r>
    <r>
      <rPr>
        <b/>
        <sz val="14"/>
        <color theme="1"/>
        <rFont val="Calibri"/>
        <family val="2"/>
        <scheme val="minor"/>
      </rPr>
      <t>increased substantially over time</t>
    </r>
    <r>
      <rPr>
        <sz val="14"/>
        <color theme="1"/>
        <rFont val="Calibri"/>
        <family val="2"/>
        <scheme val="minor"/>
      </rPr>
      <t>, with later editions involving many more participants.</t>
    </r>
  </si>
  <si>
    <r>
      <t xml:space="preserve">The Olympics have expanded to include </t>
    </r>
    <r>
      <rPr>
        <b/>
        <sz val="14"/>
        <color theme="1"/>
        <rFont val="Calibri"/>
        <family val="2"/>
        <scheme val="minor"/>
      </rPr>
      <t>more sports and events</t>
    </r>
    <r>
      <rPr>
        <sz val="14"/>
        <color theme="1"/>
        <rFont val="Calibri"/>
        <family val="2"/>
        <scheme val="minor"/>
      </rPr>
      <t>, with several sports/events introduced in recent decades.</t>
    </r>
  </si>
  <si>
    <r>
      <t xml:space="preserve">Average athlete </t>
    </r>
    <r>
      <rPr>
        <b/>
        <sz val="14"/>
        <color theme="1"/>
        <rFont val="Calibri"/>
        <family val="2"/>
        <scheme val="minor"/>
      </rPr>
      <t>height and weight show relatively stable but fluctuating patterns</t>
    </r>
    <r>
      <rPr>
        <sz val="14"/>
        <color theme="1"/>
        <rFont val="Calibri"/>
        <family val="2"/>
        <scheme val="minor"/>
      </rPr>
      <t xml:space="preserve"> over time.</t>
    </r>
  </si>
  <si>
    <r>
      <t xml:space="preserve">Certain regions show strong specialization in particular sports—for example, the </t>
    </r>
    <r>
      <rPr>
        <b/>
        <sz val="14"/>
        <color theme="1"/>
        <rFont val="Calibri"/>
        <family val="2"/>
        <scheme val="minor"/>
      </rPr>
      <t>USA in Athletics and Swimming</t>
    </r>
    <r>
      <rPr>
        <sz val="14"/>
        <color theme="1"/>
        <rFont val="Calibri"/>
        <family val="2"/>
        <scheme val="minor"/>
      </rPr>
      <t xml:space="preserve"> and </t>
    </r>
    <r>
      <rPr>
        <b/>
        <sz val="14"/>
        <color theme="1"/>
        <rFont val="Calibri"/>
        <family val="2"/>
        <scheme val="minor"/>
      </rPr>
      <t>Canada in Ice Hockey</t>
    </r>
    <r>
      <rPr>
        <sz val="14"/>
        <color theme="1"/>
        <rFont val="Calibri"/>
        <family val="2"/>
        <scheme val="minor"/>
      </rPr>
      <t>.</t>
    </r>
  </si>
  <si>
    <r>
      <t xml:space="preserve">Some countries have maintained medal success across </t>
    </r>
    <r>
      <rPr>
        <b/>
        <sz val="14"/>
        <color theme="1"/>
        <rFont val="Calibri"/>
        <family val="2"/>
        <scheme val="minor"/>
      </rPr>
      <t>many Olympic editions</t>
    </r>
    <r>
      <rPr>
        <sz val="14"/>
        <color theme="1"/>
        <rFont val="Calibri"/>
        <family val="2"/>
        <scheme val="minor"/>
      </rPr>
      <t>, demonstrating long-term consistency.</t>
    </r>
  </si>
  <si>
    <r>
      <t xml:space="preserve">Several regions experienced </t>
    </r>
    <r>
      <rPr>
        <b/>
        <sz val="14"/>
        <color theme="1"/>
        <rFont val="Calibri"/>
        <family val="2"/>
        <scheme val="minor"/>
      </rPr>
      <t>large increases in participation</t>
    </r>
    <r>
      <rPr>
        <sz val="14"/>
        <color theme="1"/>
        <rFont val="Calibri"/>
        <family val="2"/>
        <scheme val="minor"/>
      </rPr>
      <t xml:space="preserve"> compared with their earliest recorded Olympic appearance.</t>
    </r>
  </si>
  <si>
    <r>
      <t xml:space="preserve">The </t>
    </r>
    <r>
      <rPr>
        <b/>
        <sz val="14"/>
        <color theme="1"/>
        <rFont val="Calibri"/>
        <family val="2"/>
        <scheme val="minor"/>
      </rPr>
      <t>USA has the largest overall medal tally</t>
    </r>
    <r>
      <rPr>
        <sz val="14"/>
        <color theme="1"/>
        <rFont val="Calibri"/>
        <family val="2"/>
        <scheme val="minor"/>
      </rPr>
      <t xml:space="preserve"> in the analyzed data, followed by the Soviet Union and Germany.</t>
    </r>
  </si>
  <si>
    <t>Medal success is concentrated in certain sport-region combinations, while some less-dominant regions have smaller but notable medal achievements.</t>
  </si>
  <si>
    <t>🎯 One-line conclusion</t>
  </si>
  <si>
    <t>The analysis shows the expansion of the Olympic Games over time, increasing global participation, strong regional specialization, and concentration of medal success among historically dominant Olympic nations.</t>
  </si>
  <si>
    <t>Q.1 Are there any trends or patterns in the frequency of hosting Olympic Games?</t>
  </si>
  <si>
    <t>QUERY:</t>
  </si>
  <si>
    <t xml:space="preserve">SELECT </t>
  </si>
  <si>
    <t>RESULT:</t>
  </si>
  <si>
    <t>games_season</t>
  </si>
  <si>
    <t>games_year</t>
  </si>
  <si>
    <t>gap_years</t>
  </si>
  <si>
    <t>OBSERVATION:</t>
  </si>
  <si>
    <t xml:space="preserve">    games_season,</t>
  </si>
  <si>
    <t>Summer</t>
  </si>
  <si>
    <t xml:space="preserve">    games_year,</t>
  </si>
  <si>
    <t xml:space="preserve">    games_year - LAG(games_year) OVER(</t>
  </si>
  <si>
    <t xml:space="preserve">        PARTITION BY games_season</t>
  </si>
  <si>
    <t xml:space="preserve">        ORDER BY games_year</t>
  </si>
  <si>
    <t xml:space="preserve">    ) AS gap_years</t>
  </si>
  <si>
    <t>FROM (</t>
  </si>
  <si>
    <t xml:space="preserve">    SELECT DISTINCT games_year, games_season</t>
  </si>
  <si>
    <t xml:space="preserve">    FROM consolidated_fact</t>
  </si>
  <si>
    <t>) x</t>
  </si>
  <si>
    <t>ORDER BY games_season, games_year;</t>
  </si>
  <si>
    <t>Winter</t>
  </si>
  <si>
    <t>Q2.How has the duration of Olympic Games changed over time?</t>
  </si>
  <si>
    <t>SELECT</t>
  </si>
  <si>
    <t>season</t>
  </si>
  <si>
    <t xml:space="preserve">    season,</t>
  </si>
  <si>
    <t xml:space="preserve">    games_year - LAG(games_year) OVER (</t>
  </si>
  <si>
    <t xml:space="preserve">        PARTITION BY season</t>
  </si>
  <si>
    <t>FROM games</t>
  </si>
  <si>
    <t>ORDER BY season, games_year;</t>
  </si>
  <si>
    <t>Q3. Are there any notable events or occurrences associated with specific Olympic Games?</t>
  </si>
  <si>
    <t xml:space="preserve">select </t>
  </si>
  <si>
    <t>games_name</t>
  </si>
  <si>
    <t>total_participants</t>
  </si>
  <si>
    <t>g.games_name,g.games_year, count(distinct gc.person_id)as total_participants</t>
  </si>
  <si>
    <t>1896 Summer</t>
  </si>
  <si>
    <t>from games g</t>
  </si>
  <si>
    <t>1900 Summer</t>
  </si>
  <si>
    <t>join games_competitor gc</t>
  </si>
  <si>
    <t>1904 Summer</t>
  </si>
  <si>
    <t>on g.id = gc.games_id</t>
  </si>
  <si>
    <t>1906 Summer</t>
  </si>
  <si>
    <t>group by g.games_name,g.games_year;</t>
  </si>
  <si>
    <t>1908 Summer</t>
  </si>
  <si>
    <t>1912 Summer</t>
  </si>
  <si>
    <t>1920 Summer</t>
  </si>
  <si>
    <t>1924 Summer</t>
  </si>
  <si>
    <t>1924 Winter</t>
  </si>
  <si>
    <t>1928 Summer</t>
  </si>
  <si>
    <t>1928 Winter</t>
  </si>
  <si>
    <t>1932 Summer</t>
  </si>
  <si>
    <t>1932 Winter</t>
  </si>
  <si>
    <t>1936 Summer</t>
  </si>
  <si>
    <t>1936 Winter</t>
  </si>
  <si>
    <t>1948 Summer</t>
  </si>
  <si>
    <t>1948 Winter</t>
  </si>
  <si>
    <t>1952 Summer</t>
  </si>
  <si>
    <t>1952 Winter</t>
  </si>
  <si>
    <t>1956 Summer</t>
  </si>
  <si>
    <t>1956 Winter</t>
  </si>
  <si>
    <t>1960 Summer</t>
  </si>
  <si>
    <t>1960 Winter</t>
  </si>
  <si>
    <t>1964 Summer</t>
  </si>
  <si>
    <t>1964 Winter</t>
  </si>
  <si>
    <t>1968 Summer</t>
  </si>
  <si>
    <t>1968 Winter</t>
  </si>
  <si>
    <t>1972 Summer</t>
  </si>
  <si>
    <t>1972 Winter</t>
  </si>
  <si>
    <t>1976 Summer</t>
  </si>
  <si>
    <t>1976 Winter</t>
  </si>
  <si>
    <t>1980 Summer</t>
  </si>
  <si>
    <t>1980 Winter</t>
  </si>
  <si>
    <t>1984 Summer</t>
  </si>
  <si>
    <t>1984 Winter</t>
  </si>
  <si>
    <t>1988 Summer</t>
  </si>
  <si>
    <t>1988 Winter</t>
  </si>
  <si>
    <t>1992 Summer</t>
  </si>
  <si>
    <t>1992 Winter</t>
  </si>
  <si>
    <t>1994 Winter</t>
  </si>
  <si>
    <t>1996 Summer</t>
  </si>
  <si>
    <t>1998 Winter</t>
  </si>
  <si>
    <t>2000 Summer</t>
  </si>
  <si>
    <t>2002 Winter</t>
  </si>
  <si>
    <t>2004 Summer</t>
  </si>
  <si>
    <t>2006 Winter</t>
  </si>
  <si>
    <t>2008 Summer</t>
  </si>
  <si>
    <t>2010 Winter</t>
  </si>
  <si>
    <t>2012 Summer</t>
  </si>
  <si>
    <t>2014 Winter</t>
  </si>
  <si>
    <t>2016 Summer</t>
  </si>
  <si>
    <t>Q4.Are there any emerging sports that have been recently added to the Olympics?</t>
  </si>
  <si>
    <t>select</t>
  </si>
  <si>
    <t>sport_name</t>
  </si>
  <si>
    <t>first_year</t>
  </si>
  <si>
    <t>s.sport_name, min(g.games_year) as first_year</t>
  </si>
  <si>
    <t>Rugby Sevens</t>
  </si>
  <si>
    <t>from sport s</t>
  </si>
  <si>
    <t>Triathlon</t>
  </si>
  <si>
    <t>join event e</t>
  </si>
  <si>
    <t>Trampolining</t>
  </si>
  <si>
    <t xml:space="preserve">on s.id = e.id </t>
  </si>
  <si>
    <t>Taekwondo</t>
  </si>
  <si>
    <t>join competitor_event ce</t>
  </si>
  <si>
    <t>Snowboarding</t>
  </si>
  <si>
    <t>on e.id = ce.event_id</t>
  </si>
  <si>
    <t>Beach Volleyball</t>
  </si>
  <si>
    <t>Softball</t>
  </si>
  <si>
    <t>on ce.competitor_id=gc.id</t>
  </si>
  <si>
    <t>Baseball</t>
  </si>
  <si>
    <t xml:space="preserve">join games g </t>
  </si>
  <si>
    <t>Freestyle Skiing</t>
  </si>
  <si>
    <t>on gc.games_id = g.id</t>
  </si>
  <si>
    <t>Short Track Speed Skating</t>
  </si>
  <si>
    <t>group by s.sport_name</t>
  </si>
  <si>
    <t>Badminton</t>
  </si>
  <si>
    <t>order by min(g.games_year) desc</t>
  </si>
  <si>
    <t>Table Tennis</t>
  </si>
  <si>
    <t>Rhythmic Gymnastics</t>
  </si>
  <si>
    <t>Synchronized Swimming</t>
  </si>
  <si>
    <t>Judo</t>
  </si>
  <si>
    <t>Luge</t>
  </si>
  <si>
    <t>Volleyball</t>
  </si>
  <si>
    <t>Biathlon</t>
  </si>
  <si>
    <t>Aeronautics</t>
  </si>
  <si>
    <t>Alpine Skiing</t>
  </si>
  <si>
    <t>Basketball</t>
  </si>
  <si>
    <t>Canoeing</t>
  </si>
  <si>
    <t>Handball</t>
  </si>
  <si>
    <t>Skeleton</t>
  </si>
  <si>
    <t>Alpinism</t>
  </si>
  <si>
    <t>Speed Skating</t>
  </si>
  <si>
    <t>Curling</t>
  </si>
  <si>
    <t>Nordic Combined</t>
  </si>
  <si>
    <t>Cross Country Skiing</t>
  </si>
  <si>
    <t>Military Ski Patrol</t>
  </si>
  <si>
    <t>Ski Jumping</t>
  </si>
  <si>
    <t>Bobsleigh</t>
  </si>
  <si>
    <t>Ice Hockey</t>
  </si>
  <si>
    <t>Art Competitions</t>
  </si>
  <si>
    <t>Modern Pentathlon</t>
  </si>
  <si>
    <t>Figure Skating</t>
  </si>
  <si>
    <t>Hockey</t>
  </si>
  <si>
    <t>Jeu De Paume</t>
  </si>
  <si>
    <t>Racquets</t>
  </si>
  <si>
    <t>Motorboating</t>
  </si>
  <si>
    <t>Diving</t>
  </si>
  <si>
    <t>Roque</t>
  </si>
  <si>
    <t>Boxing</t>
  </si>
  <si>
    <t>Lacrosse</t>
  </si>
  <si>
    <t>Polo</t>
  </si>
  <si>
    <t>Football</t>
  </si>
  <si>
    <t>Rowing</t>
  </si>
  <si>
    <t>Rugby</t>
  </si>
  <si>
    <t>Sailing</t>
  </si>
  <si>
    <t>Croquet</t>
  </si>
  <si>
    <t>Basque Pelota</t>
  </si>
  <si>
    <t>Archery</t>
  </si>
  <si>
    <t>Golf</t>
  </si>
  <si>
    <t>Cricket</t>
  </si>
  <si>
    <t>Tug-Of-War</t>
  </si>
  <si>
    <t>Equestrianism</t>
  </si>
  <si>
    <t>Water Polo</t>
  </si>
  <si>
    <t>Cycling</t>
  </si>
  <si>
    <t>Shooting</t>
  </si>
  <si>
    <t>Athletics</t>
  </si>
  <si>
    <t>Swimming</t>
  </si>
  <si>
    <t>Gymnastics</t>
  </si>
  <si>
    <t>Tennis</t>
  </si>
  <si>
    <t>Fencing</t>
  </si>
  <si>
    <t>Weightlifting</t>
  </si>
  <si>
    <t>Wrestling</t>
  </si>
  <si>
    <t>Q5.How has the popularity of certain sports changed over the years?</t>
  </si>
  <si>
    <t xml:space="preserve">    sport_name,</t>
  </si>
  <si>
    <t xml:space="preserve">    COUNT(DISTINCT person_id) AS total_participants</t>
  </si>
  <si>
    <t>FROM consolidated_fact</t>
  </si>
  <si>
    <t>WHERE games_year IS NOT NULL</t>
  </si>
  <si>
    <t xml:space="preserve">  AND sport_name IS NOT NULL</t>
  </si>
  <si>
    <t>GROUP BY games_year, sport_name</t>
  </si>
  <si>
    <t>ORDER BY games_year, total_participants DESC;</t>
  </si>
  <si>
    <t>Sum of total_participants</t>
  </si>
  <si>
    <t>Grand Total</t>
  </si>
  <si>
    <t>Q6.Are there any sports that are specific to a particular region or culture?</t>
  </si>
  <si>
    <t>number_of_regions</t>
  </si>
  <si>
    <t>regions</t>
  </si>
  <si>
    <t>France</t>
  </si>
  <si>
    <t xml:space="preserve">    COUNT(DISTINCT region_name) AS number_of_regions,</t>
  </si>
  <si>
    <t>UK</t>
  </si>
  <si>
    <t xml:space="preserve">    GROUP_CONCAT(DISTINCT region_name ORDER BY region_name SEPARATOR ', ') AS regions,</t>
  </si>
  <si>
    <t>USA</t>
  </si>
  <si>
    <t>Spain</t>
  </si>
  <si>
    <t>Switzerland</t>
  </si>
  <si>
    <t>WHERE sport_name IS NOT NULL</t>
  </si>
  <si>
    <t xml:space="preserve">  AND region_name IS NOT NULL</t>
  </si>
  <si>
    <t>GROUP BY sport_name</t>
  </si>
  <si>
    <t>HAVING COUNT(DISTINCT region_name) = 1</t>
  </si>
  <si>
    <t>ORDER BY total_participants DESC;</t>
  </si>
  <si>
    <t>Q7.Are there any sports that have a higher number of events for one gender compared to others?</t>
  </si>
  <si>
    <t>mens_events</t>
  </si>
  <si>
    <t>womens_events</t>
  </si>
  <si>
    <t>mixed_events</t>
  </si>
  <si>
    <t>Total_events</t>
  </si>
  <si>
    <t xml:space="preserve">    s.sport_name,</t>
  </si>
  <si>
    <t xml:space="preserve">    SUM(CASE</t>
  </si>
  <si>
    <t xml:space="preserve">        WHEN e.event_name LIKE '%Men''s%' THEN 1</t>
  </si>
  <si>
    <t xml:space="preserve">        ELSE 0</t>
  </si>
  <si>
    <t xml:space="preserve">    END) AS mens_events,</t>
  </si>
  <si>
    <t xml:space="preserve">        WHEN e.event_name LIKE '%Women''s%' THEN 1</t>
  </si>
  <si>
    <t xml:space="preserve">    END) AS womens_events,</t>
  </si>
  <si>
    <t xml:space="preserve">        WHEN e.event_name LIKE '%Mixed%' THEN 1</t>
  </si>
  <si>
    <t xml:space="preserve">    END) AS mixed_events</t>
  </si>
  <si>
    <t>FROM sport s</t>
  </si>
  <si>
    <t>JOIN event e</t>
  </si>
  <si>
    <t xml:space="preserve">    ON s.id = e.sport_id</t>
  </si>
  <si>
    <t>GROUP BY s.sport_name</t>
  </si>
  <si>
    <t>ORDER BY s.sport_name;</t>
  </si>
  <si>
    <t>Q8.Are there any new events that have been introduced in recent editions of the Olympics?</t>
  </si>
  <si>
    <t>event_name</t>
  </si>
  <si>
    <t>first_introduced_year</t>
  </si>
  <si>
    <t>Introduction Year</t>
  </si>
  <si>
    <t>Number of Events</t>
  </si>
  <si>
    <t xml:space="preserve">    event_name,</t>
  </si>
  <si>
    <t>Rugby Sevens Men's Rugby Sevens</t>
  </si>
  <si>
    <t xml:space="preserve">    MIN(games_year) AS first_introduced_year</t>
  </si>
  <si>
    <t>Rugby Sevens Women's Rugby Sevens</t>
  </si>
  <si>
    <t>Sailing Women's Skiff</t>
  </si>
  <si>
    <t>WHERE event_name IS NOT NULL</t>
  </si>
  <si>
    <t>Wrestling Women's Featherweight, Freestyle</t>
  </si>
  <si>
    <t xml:space="preserve">  AND games_year IS NOT NULL</t>
  </si>
  <si>
    <t>Wrestling Women's Light-Heavyweight, Freestyle</t>
  </si>
  <si>
    <t>GROUP BY event_name</t>
  </si>
  <si>
    <t>Biathlon Mixed 2 x 6 kilometres and 2 x 7.5 kilometres Relay</t>
  </si>
  <si>
    <t>HAVING MIN(games_year) &gt;= 2000</t>
  </si>
  <si>
    <t>Figure Skating Mixed Team</t>
  </si>
  <si>
    <t>ORDER BY first_introduced_year DESC, event_name;</t>
  </si>
  <si>
    <t>Freestyle Skiing Men's Halfpipe</t>
  </si>
  <si>
    <t>Freestyle Skiing Men's Slopestyle</t>
  </si>
  <si>
    <t>Freestyle Skiing Women's Halfpipe</t>
  </si>
  <si>
    <t>Freestyle Skiing Women's Slopestyle</t>
  </si>
  <si>
    <t>Luge Mixed Team Relay</t>
  </si>
  <si>
    <t>Ski Jumping Women's Normal Hill, Individual</t>
  </si>
  <si>
    <t>Snowboarding Men's Parallel Slalom</t>
  </si>
  <si>
    <t>Snowboarding Men's Slopestyle</t>
  </si>
  <si>
    <t>Snowboarding Women's Parallel Slalom</t>
  </si>
  <si>
    <t>Snowboarding Women's Slopestyle</t>
  </si>
  <si>
    <t>Boxing Women's Flyweight</t>
  </si>
  <si>
    <t>Boxing Women's Lightweight</t>
  </si>
  <si>
    <t>Boxing Women's Middleweight</t>
  </si>
  <si>
    <t>Canoeing Men's Canadian Singles, 200 metres</t>
  </si>
  <si>
    <t>Canoeing Men's Kayak Doubles, 200 metres</t>
  </si>
  <si>
    <t>Canoeing Men's Kayak Singles, 200 metres</t>
  </si>
  <si>
    <t>Canoeing Women's Kayak Singles, 200 metres</t>
  </si>
  <si>
    <t>Cycling Men's Omnium</t>
  </si>
  <si>
    <t>Cycling Women's Keirin</t>
  </si>
  <si>
    <t>Cycling Women's Omnium</t>
  </si>
  <si>
    <t>Cycling Women's Team Pursuit</t>
  </si>
  <si>
    <t>Cycling Women's Team Sprint</t>
  </si>
  <si>
    <t>Sailing Men's One Person Heavyweight Dinghy</t>
  </si>
  <si>
    <t>Sailing Men's Skiff</t>
  </si>
  <si>
    <t>Freestyle Skiing Men's Ski Cross</t>
  </si>
  <si>
    <t>Freestyle Skiing Women's Ski Cross</t>
  </si>
  <si>
    <t>Nordic Combined Men's Large Hill / 10 km, Individual</t>
  </si>
  <si>
    <t>Nordic Combined Men's Normal Hill / 10 km, Individual</t>
  </si>
  <si>
    <t>Athletics Women's 3,000 metres Steeplechase</t>
  </si>
  <si>
    <t>Cycling Men's BMX</t>
  </si>
  <si>
    <t>Cycling Women's BMX</t>
  </si>
  <si>
    <t>Fencing Women's Sabre, Team</t>
  </si>
  <si>
    <t>Swimming Men's 10 kilometres Open Water</t>
  </si>
  <si>
    <t>Swimming Women's 10 kilometres Open Water</t>
  </si>
  <si>
    <t>Table Tennis Men's Team</t>
  </si>
  <si>
    <t>Table Tennis Women's Team</t>
  </si>
  <si>
    <t>Biathlon Men's 15 kilometres Mass Start</t>
  </si>
  <si>
    <t>Biathlon Women's 12.5 kilometres Mass Start</t>
  </si>
  <si>
    <t>Biathlon Women's 4 x 6 kilometres Relay</t>
  </si>
  <si>
    <t>Cross Country Skiing Men's 30 km Skiathlon</t>
  </si>
  <si>
    <t>Cross Country Skiing Men's Team Sprint</t>
  </si>
  <si>
    <t>Cross Country Skiing Women's 15 km Skiathlon</t>
  </si>
  <si>
    <t>Cross Country Skiing Women's Team Sprint</t>
  </si>
  <si>
    <t>Snowboarding Men's Boardercross</t>
  </si>
  <si>
    <t>Snowboarding Women's Boardercross</t>
  </si>
  <si>
    <t>Speed Skating Men's Team Pursuit (8 laps)</t>
  </si>
  <si>
    <t>Speed Skating Women's Team Pursuit (6 laps)</t>
  </si>
  <si>
    <t>Fencing Women's Sabre, Individual</t>
  </si>
  <si>
    <t>Sailing Men's Two Person Keelboat</t>
  </si>
  <si>
    <t>Sailing Women's Three Person Keelboat</t>
  </si>
  <si>
    <t>Wrestling Women's Flyweight, Freestyle</t>
  </si>
  <si>
    <t>Wrestling Women's Heavyweight, Freestyle</t>
  </si>
  <si>
    <t>Wrestling Women's Lightweight, Freestyle</t>
  </si>
  <si>
    <t>Wrestling Women's Middleweight, Freestyle</t>
  </si>
  <si>
    <t>Biathlon Men's 12.5 kilometres Pursuit</t>
  </si>
  <si>
    <t>Biathlon Women's 10 kilometres Pursuit</t>
  </si>
  <si>
    <t>Bobsleigh Women's Two</t>
  </si>
  <si>
    <t>Cross Country Skiing Men's 10/10 kilometres Pursuit</t>
  </si>
  <si>
    <t>Cross Country Skiing Men's Sprint</t>
  </si>
  <si>
    <t>Q9.Are there any events that have been discontinued or removed from the Olympics?</t>
  </si>
  <si>
    <t>last_year</t>
  </si>
  <si>
    <t>Last Year</t>
  </si>
  <si>
    <t>Discontinued Events</t>
  </si>
  <si>
    <t>Figure Skating Men's Singles</t>
  </si>
  <si>
    <t xml:space="preserve">    MIN(games_year) AS first_year,</t>
  </si>
  <si>
    <t>Figure Skating Mixed Pairs</t>
  </si>
  <si>
    <t xml:space="preserve">    MAX(games_year) AS last_year</t>
  </si>
  <si>
    <t>Ice Hockey Men's Ice Hockey</t>
  </si>
  <si>
    <t>Luge Men's Singles</t>
  </si>
  <si>
    <t>Luge Mixed (Men)'s Doubles</t>
  </si>
  <si>
    <t>Freestyle Skiing Men's Moguls</t>
  </si>
  <si>
    <t>HAVING MAX(games_year) &lt; (SELECT MAX(games_year) FROM consolidated_fact)</t>
  </si>
  <si>
    <t>Skeleton Men's Skeleton</t>
  </si>
  <si>
    <t>ORDER BY last_year DESC;</t>
  </si>
  <si>
    <t>Ski Jumping Men's Large Hill, Individual</t>
  </si>
  <si>
    <t>Short Track Speed Skating Men's 500 metres</t>
  </si>
  <si>
    <t>Short Track Speed Skating Men's 1,000 metres</t>
  </si>
  <si>
    <t>Nordic Combined Men's Team</t>
  </si>
  <si>
    <t>Ski Jumping Men's Large Hill, Team</t>
  </si>
  <si>
    <t>Short Track Speed Skating Men's 5,000 metres Relay</t>
  </si>
  <si>
    <t>Biathlon Men's 10 kilometres Sprint</t>
  </si>
  <si>
    <t>Biathlon Men's 4 x 7.5 kilometres Relay</t>
  </si>
  <si>
    <t>Biathlon Men's 20 kilometres</t>
  </si>
  <si>
    <t>Figure Skating Mixed Ice Dancing</t>
  </si>
  <si>
    <t>Ski Jumping Men's Normal Hill, Individual</t>
  </si>
  <si>
    <t>Bobsleigh Men's Four</t>
  </si>
  <si>
    <t>Bobsleigh Men's Two</t>
  </si>
  <si>
    <t>Speed Skating Men's 1,000 metres</t>
  </si>
  <si>
    <t>Speed Skating Men's 10,000 metres</t>
  </si>
  <si>
    <t>Speed Skating Men's 5,000 metres</t>
  </si>
  <si>
    <t>Speed Skating Men's 500 metres</t>
  </si>
  <si>
    <t>Speed Skating Men's 1,500 metres</t>
  </si>
  <si>
    <t>Cross Country Skiing Men's 50 kilometres</t>
  </si>
  <si>
    <t>Cross Country Skiing Men's 4 x 10 kilometres Relay</t>
  </si>
  <si>
    <t>Cross Country Skiing Men's 15 kilometres</t>
  </si>
  <si>
    <t>Alpine Skiing Men's Super G</t>
  </si>
  <si>
    <t>Alpine Skiing Men's Combined</t>
  </si>
  <si>
    <t>Alpine Skiing Men's Downhill</t>
  </si>
  <si>
    <t>Alpine Skiing Men's Giant Slalom</t>
  </si>
  <si>
    <t>Alpine Skiing Men's Slalom</t>
  </si>
  <si>
    <t>Alpine Skiing Women's Slalom</t>
  </si>
  <si>
    <t>Alpine Skiing Women's Giant Slalom</t>
  </si>
  <si>
    <t>Alpine Skiing Women's Downhill</t>
  </si>
  <si>
    <t>Alpine Skiing Women's Combined</t>
  </si>
  <si>
    <t>Alpine Skiing Women's Super G</t>
  </si>
  <si>
    <t>Cross Country Skiing Women's 30 kilometres</t>
  </si>
  <si>
    <t>Cross Country Skiing Women's 4 x 5 kilometres Relay</t>
  </si>
  <si>
    <t>Cross Country Skiing Women's Sprint</t>
  </si>
  <si>
    <t>Cross Country Skiing Women's 10 kilometres</t>
  </si>
  <si>
    <t>Figure Skating Women's Singles</t>
  </si>
  <si>
    <t>Speed Skating Women's 1,500 metres</t>
  </si>
  <si>
    <t>Speed Skating Women's 1,000 metres</t>
  </si>
  <si>
    <t>Speed Skating Women's 3,000 metres</t>
  </si>
  <si>
    <t>Speed Skating Women's 500 metres</t>
  </si>
  <si>
    <t>Speed Skating Women's 5,000 metres</t>
  </si>
  <si>
    <t>Biathlon Women's 7.5 kilometres Sprint</t>
  </si>
  <si>
    <t>Biathlon Women's 15 kilometres</t>
  </si>
  <si>
    <t>Luge Women's Singles</t>
  </si>
  <si>
    <t>Short Track Speed Skating Women's 500 metres</t>
  </si>
  <si>
    <t>Short Track Speed Skating Women's 1,000 metres</t>
  </si>
  <si>
    <t>Short Track Speed Skating Women's 1,500 metres</t>
  </si>
  <si>
    <t>Short Track Speed Skating Women's 3,000 metres Relay</t>
  </si>
  <si>
    <t>Skeleton Women's Skeleton</t>
  </si>
  <si>
    <t>Freestyle Skiing Women's Moguls</t>
  </si>
  <si>
    <t>Curling Women's Curling</t>
  </si>
  <si>
    <t>Snowboarding Men's Halfpipe</t>
  </si>
  <si>
    <t>Curling Men's Curling</t>
  </si>
  <si>
    <t>Freestyle Skiing Men's Aerials</t>
  </si>
  <si>
    <t>Snowboarding Women's Halfpipe</t>
  </si>
  <si>
    <t>Snowboarding Women's Parallel Giant Slalom</t>
  </si>
  <si>
    <t>Freestyle Skiing Women's Aerials</t>
  </si>
  <si>
    <t>Ice Hockey Women's Ice Hockey</t>
  </si>
  <si>
    <t>Short Track Speed Skating Men's 1,500 metres</t>
  </si>
  <si>
    <t>Snowboarding Men's Parallel Giant Slalom</t>
  </si>
  <si>
    <t>Fencing Men's Sabre, Team</t>
  </si>
  <si>
    <t>Wrestling Men's Lightweight, Greco-Roman</t>
  </si>
  <si>
    <t>Wrestling Men's Lightweight, Freestyle</t>
  </si>
  <si>
    <t>Fencing Women's Foil, Team</t>
  </si>
  <si>
    <t>Cycling Men's Points Race</t>
  </si>
  <si>
    <t>Sailing Mixed One Person Dinghy</t>
  </si>
  <si>
    <t>Boxing Men's Featherweight</t>
  </si>
  <si>
    <t>Cycling Men's Individual Pursuit, 4,000 metres</t>
  </si>
  <si>
    <t>Cycling Men's Madison</t>
  </si>
  <si>
    <t>Baseball Men's Baseball</t>
  </si>
  <si>
    <t>Canoeing Men's Kayak Doubles, 500 metres</t>
  </si>
  <si>
    <t>Canoeing Men's Canadian Singles, 500 metres</t>
  </si>
  <si>
    <t>Canoeing Men's Canadian Doubles, 500 metres</t>
  </si>
  <si>
    <t>Canoeing Men's Kayak Singles, 500 metres</t>
  </si>
  <si>
    <t>Softball Women's Softball</t>
  </si>
  <si>
    <t>Cycling Women's Points Race</t>
  </si>
  <si>
    <t>Cycling Women's Individual Pursuit, 3,000 metres</t>
  </si>
  <si>
    <t>Sailing Mixed Skiff</t>
  </si>
  <si>
    <t>Nordic Combined Men's Individual</t>
  </si>
  <si>
    <t>Nordic Combined Men's Sprint</t>
  </si>
  <si>
    <t>Cycling Men's 1,000 metres Time Trial</t>
  </si>
  <si>
    <t>Table Tennis Men's Doubles</t>
  </si>
  <si>
    <t>Shooting Men's Running Target, 10 metres</t>
  </si>
  <si>
    <t>Table Tennis Women's Doubles</t>
  </si>
  <si>
    <t>Shooting Women's Double Trap</t>
  </si>
  <si>
    <t>Cycling Women's 500 metres Time Trial</t>
  </si>
  <si>
    <t>Cross Country Skiing Men's 30 kilometres</t>
  </si>
  <si>
    <t>Cross Country Skiing Women's 15 kilometres</t>
  </si>
  <si>
    <t>Cross Country Skiing Women's 5/5 kilometres Pursuit</t>
  </si>
  <si>
    <t>Biathlon Women's 4 x 7.5 kilometres Relay</t>
  </si>
  <si>
    <t>Wrestling Men's Bantamweight, Freestyle</t>
  </si>
  <si>
    <t>Wrestling Men's Bantamweight, Greco-Roman</t>
  </si>
  <si>
    <t>Sailing Mixed Two Person Keelboat</t>
  </si>
  <si>
    <t>Sailing Mixed Three Person Keelboat</t>
  </si>
  <si>
    <t>Boxing Men's Light-Middleweight</t>
  </si>
  <si>
    <t>Cross Country Skiing Men's 10 kilometres</t>
  </si>
  <si>
    <t>Cross Country Skiing Men's 10/15 kilometres Pursuit</t>
  </si>
  <si>
    <t>Cross Country Skiing Women's 5 kilometres</t>
  </si>
  <si>
    <t>Cross Country Skiing Women's 5/10 kilometres Pursuit</t>
  </si>
  <si>
    <t>Snowboarding Women's Giant Slalom</t>
  </si>
  <si>
    <t>Snowboarding Men's Giant Slalom</t>
  </si>
  <si>
    <t>Wrestling Men's Light-Flyweight, Freestyle</t>
  </si>
  <si>
    <t>Wrestling Men's Flyweight, Greco-Roman</t>
  </si>
  <si>
    <t>Wrestling Men's Flyweight, Freestyle</t>
  </si>
  <si>
    <t>Wrestling Men's Light-Flyweight, Greco-Roman</t>
  </si>
  <si>
    <t>Weightlifting Men's Flyweight</t>
  </si>
  <si>
    <t>Weightlifting Men's Heavyweight II</t>
  </si>
  <si>
    <t>Weightlifting Men's Heavyweight I</t>
  </si>
  <si>
    <t>Athletics Women's 10 kilometres Walk</t>
  </si>
  <si>
    <t>Rowing Men's Coxed Pairs</t>
  </si>
  <si>
    <t>Rowing Men's Coxed Fours</t>
  </si>
  <si>
    <t>Sailing Mixed Two Person Heavyweight Dinghy</t>
  </si>
  <si>
    <t>Shooting Mixed Trap</t>
  </si>
  <si>
    <t>Cycling Men's 100 kilometres Team Time Trial</t>
  </si>
  <si>
    <t>Shooting Mixed Skeet</t>
  </si>
  <si>
    <t>Modern Pentathlon Men's Team</t>
  </si>
  <si>
    <t>Biathlon Women's 3 x 7.5 kilometres Relay</t>
  </si>
  <si>
    <t>Synchronized Swimming Women's Solo</t>
  </si>
  <si>
    <t>Rowing Women's Coxless Fours</t>
  </si>
  <si>
    <t>Athletics Women's 3,000 metres</t>
  </si>
  <si>
    <t>Sailing Mixed Windsurfer</t>
  </si>
  <si>
    <t>Cross Country Skiing Women's 20 kilometres</t>
  </si>
  <si>
    <t>Rowing Women's Coxed Fours</t>
  </si>
  <si>
    <t>Shooting Men's Running Target, 50 metres</t>
  </si>
  <si>
    <t>Judo Men's Open Class</t>
  </si>
  <si>
    <t>Sailing Mixed Two Person Dinghy</t>
  </si>
  <si>
    <t>Rowing Women's Coxed Quadruple Sculls</t>
  </si>
  <si>
    <t>Shooting Mixed Free Pistol, 50 metres</t>
  </si>
  <si>
    <t>Shooting Mixed Running Target, 50 metres</t>
  </si>
  <si>
    <t>Shooting Mixed Small-Bore Rifle, Prone, 50 metres</t>
  </si>
  <si>
    <t>Athletics Women's Pentathlon</t>
  </si>
  <si>
    <t>Shooting Mixed Rapid-Fire Pistol, 25 metres</t>
  </si>
  <si>
    <t>Shooting Mixed Small-Bore Rifle, Three Positions, 50 metres</t>
  </si>
  <si>
    <t>Cycling Men's Tandem Sprint, 2,000 metres</t>
  </si>
  <si>
    <t>Cross Country Skiing Women's 3 x 5 kilometres Relay</t>
  </si>
  <si>
    <t>Shooting Mixed Free Rifle, Three Positions, 300 metres</t>
  </si>
  <si>
    <t>Sailing Mixed 5.5 metres</t>
  </si>
  <si>
    <t>Athletics Women's 80 metres Hurdles</t>
  </si>
  <si>
    <t>Shooting Men's Free Rifle, Three Positions, 300 metres</t>
  </si>
  <si>
    <t>Equestrianism Men's Three-Day Event, Individual</t>
  </si>
  <si>
    <t>Equestrianism Men's Three-Day Event, Team</t>
  </si>
  <si>
    <t>Canoeing Men's Kayak Relay 4 x 500 metres</t>
  </si>
  <si>
    <t>Cycling Men's Road Race, Team</t>
  </si>
  <si>
    <t>Shooting Men's Running Target, Single And Double Shot</t>
  </si>
  <si>
    <t>Canoeing Men's Canadian Doubles, 10,000 metres</t>
  </si>
  <si>
    <t>Canoeing Men's Kayak Singles, 10,000 metres</t>
  </si>
  <si>
    <t>Canoeing Men's Kayak Doubles, 10,000 metres</t>
  </si>
  <si>
    <t>Canoeing Men's Canadian Singles, 10,000 metres</t>
  </si>
  <si>
    <t>Gymnastics Women's Team Portable Apparatus</t>
  </si>
  <si>
    <t>Athletics Men's 10 kilometres Walk</t>
  </si>
  <si>
    <t>Equestrianism Men's Jumping, Individual</t>
  </si>
  <si>
    <t>Equestrianism Men's Jumping, Team</t>
  </si>
  <si>
    <t>Sailing Mixed 6 metres</t>
  </si>
  <si>
    <t>Cross Country Skiing Men's 18 kilometres</t>
  </si>
  <si>
    <t>Equestrianism Men's Dressage, Individual</t>
  </si>
  <si>
    <t>Art Competitions Mixed Architecture, Designs For Town Planning</t>
  </si>
  <si>
    <t>Art Competitions Mixed Architecture, Unknown Event</t>
  </si>
  <si>
    <t>Art Competitions Mixed Sculpturing, Statues</t>
  </si>
  <si>
    <t>Art Competitions Mixed Painting, Paintings</t>
  </si>
  <si>
    <t>Art Competitions Mixed Painting, Graphic Arts</t>
  </si>
  <si>
    <t>Art Competitions Mixed Sculpturing, Unknown Event</t>
  </si>
  <si>
    <t>Art Competitions Mixed Painting, Unknown Event</t>
  </si>
  <si>
    <t>Art Competitions Mixed Literature, Lyric Works</t>
  </si>
  <si>
    <t>Art Competitions Mixed Painting, Applied Arts</t>
  </si>
  <si>
    <t>Art Competitions Mixed Music, Compositions For Orchestra</t>
  </si>
  <si>
    <t>Art Competitions Mixed Literature, Unknown Event</t>
  </si>
  <si>
    <t>Art Competitions Mixed Literature, Dramatic Works</t>
  </si>
  <si>
    <t>Art Competitions Mixed Sculpturing, Medals And Plaques</t>
  </si>
  <si>
    <t>Art Competitions Mixed Architecture, Architectural Designs</t>
  </si>
  <si>
    <t>Art Competitions Mixed Literature, Epic Works</t>
  </si>
  <si>
    <t>Art Competitions Mixed Music, Instrumental And Chamber</t>
  </si>
  <si>
    <t>Art Competitions Mixed Music, Vocals</t>
  </si>
  <si>
    <t>Equestrianism Men's Dressage, Team</t>
  </si>
  <si>
    <t>Art Competitions Mixed Sculpturing, Reliefs</t>
  </si>
  <si>
    <t>Polo Men's Polo</t>
  </si>
  <si>
    <t>Art Competitions Mixed Painting, Drawings And Water Colors</t>
  </si>
  <si>
    <t>Sailing Mixed 8 metres</t>
  </si>
  <si>
    <t>Canoeing Men's Folding Kayak Doubles, 10 kilometres</t>
  </si>
  <si>
    <t>Canoeing Men's Folding Kayak Singles, 10 kilometres</t>
  </si>
  <si>
    <t>Art Competitions Mixed Sculpturing, Medals</t>
  </si>
  <si>
    <t>Art Competitions Mixed Music, Unknown Event</t>
  </si>
  <si>
    <t>Art Competitions Mixed Music, Compositions For Solo Or Chorus</t>
  </si>
  <si>
    <t>Alpinism Mixed Alpinism</t>
  </si>
  <si>
    <t>Aeronautics Mixed Aeronautics</t>
  </si>
  <si>
    <t>Gymnastics Men's Rope Climbing</t>
  </si>
  <si>
    <t>Gymnastics Men's Tumbling</t>
  </si>
  <si>
    <t>Art Competitions Mixed Music</t>
  </si>
  <si>
    <t>Art Competitions Mixed Literature</t>
  </si>
  <si>
    <t>Art Competitions Mixed Unknown Event</t>
  </si>
  <si>
    <t>Art Competitions Mixed Sculpturing, Medals And Reliefs</t>
  </si>
  <si>
    <t>Gymnastics Men's Club Swinging</t>
  </si>
  <si>
    <t>Bobsleigh Men's Four/Five</t>
  </si>
  <si>
    <t>Gymnastics Men's Side Horse</t>
  </si>
  <si>
    <t>Athletics Men's 3,000 metres, Team</t>
  </si>
  <si>
    <t>Athletics Men's Cross-Country, Individual</t>
  </si>
  <si>
    <t>Athletics Men's Cross-Country, Team</t>
  </si>
  <si>
    <t>Athletics Men's Pentathlon</t>
  </si>
  <si>
    <t>Diving Men's Plain High</t>
  </si>
  <si>
    <t>Art Competitions Mixed Sculpturing</t>
  </si>
  <si>
    <t>Art Competitions Mixed Architecture</t>
  </si>
  <si>
    <t>Art Competitions Mixed Painting</t>
  </si>
  <si>
    <t>Shooting Men's Running Target, Single Shot</t>
  </si>
  <si>
    <t>Shooting Men's Running Target, Double Shot</t>
  </si>
  <si>
    <t>Shooting Men's Trap, Team</t>
  </si>
  <si>
    <t>Shooting Men's Running Target, Single Shot, Team</t>
  </si>
  <si>
    <t>Cycling Men's 50 kilometres</t>
  </si>
  <si>
    <t>Shooting Men's Free Rifle, Prone, 600 metres</t>
  </si>
  <si>
    <t>Shooting Men's Free Rifle, 400, 600 and 800 metres, Team</t>
  </si>
  <si>
    <t>Shooting Men's Running Target, Double Shot, Team</t>
  </si>
  <si>
    <t>Military Ski Patrol Men's Military Ski Patrol</t>
  </si>
  <si>
    <t>Speed Skating Men's Allround</t>
  </si>
  <si>
    <t>Diving Women's Plain High</t>
  </si>
  <si>
    <t>Rugby Men's Rugby</t>
  </si>
  <si>
    <t>Gymnastics Men's Team All-Around, Free System</t>
  </si>
  <si>
    <t>Athletics Men's 56-pound Weight Throw</t>
  </si>
  <si>
    <t>Athletics Men's 3,000 metres Walk</t>
  </si>
  <si>
    <t>Shooting Men's Free Rifle, Three Positions, 300 metres, Team</t>
  </si>
  <si>
    <t>Shooting Men's Free Pistol, 50 metres, Team</t>
  </si>
  <si>
    <t>Tug-Of-War Men's Tug-Of-War</t>
  </si>
  <si>
    <t>Swimming Men's 400 metres Breaststroke</t>
  </si>
  <si>
    <t>Sailing Mixed 10 metres</t>
  </si>
  <si>
    <t>Shooting Men's Military Rifle, Prone, 300 metres</t>
  </si>
  <si>
    <t>Shooting Men's Military Rifle, Prone, 300 metres, Team</t>
  </si>
  <si>
    <t>Shooting Men's Military Rifle, Prone, 600 metres, Team</t>
  </si>
  <si>
    <t>Shooting Men's Military Rifle, Standing, 300 metres, Team</t>
  </si>
  <si>
    <t>Shooting Men's Military Rifle, 300 metres and 600 metres, Prone, Team</t>
  </si>
  <si>
    <t>Shooting Men's Military Pistol, Team</t>
  </si>
  <si>
    <t>Shooting Men's Small-Bore Rifle, Standing, 50 metres</t>
  </si>
  <si>
    <t>Shooting Men's Small Bore-Rifle, Standing, 50 metres, Team</t>
  </si>
  <si>
    <t>Shooting Men's Military Rifle, Prone, 600 metres</t>
  </si>
  <si>
    <t>Shooting Men's Military Rifle, Standing, 300 metres</t>
  </si>
  <si>
    <t>Shooting Men's Military Pistol, 30 metres</t>
  </si>
  <si>
    <t>Shooting Men's Unknown Event</t>
  </si>
  <si>
    <t>Equestrianism Men's Vaulting, Individual</t>
  </si>
  <si>
    <t>Swimming Women's 300 metres Freestyle</t>
  </si>
  <si>
    <t>Gymnastics Men's Team All-Around, Swedish System</t>
  </si>
  <si>
    <t>Sailing Mixed 6.5 metres</t>
  </si>
  <si>
    <t>Sailing Mixed 12 metres</t>
  </si>
  <si>
    <t>Sailing Mixed 7 metres</t>
  </si>
  <si>
    <t>Archery Men's Target Archery, 28 metres, Team</t>
  </si>
  <si>
    <t>Equestrianism Men's Vaulting, Team</t>
  </si>
  <si>
    <t>Sailing Mixed 40 metres</t>
  </si>
  <si>
    <t>Sailing Mixed 12 foot</t>
  </si>
  <si>
    <t>Archery Men's Target Archery, 33 metres, Individual</t>
  </si>
  <si>
    <t>Archery Men's Target Archery, 33 metres, Team</t>
  </si>
  <si>
    <t>Archery Men's Target Archery, 50 metres, Team</t>
  </si>
  <si>
    <t>Archery Men's Target Archery, 28 metres, Individual</t>
  </si>
  <si>
    <t>Archery Men's Target Archery, 50 metres, Individual</t>
  </si>
  <si>
    <t>Sailing Mixed 30 metres</t>
  </si>
  <si>
    <t>Athletics Men's Standing High Jump</t>
  </si>
  <si>
    <t>Athletics Men's Standing Long Jump</t>
  </si>
  <si>
    <t>Athletics Men's Discus Throw, Both Hands</t>
  </si>
  <si>
    <t>Athletics Men's Shot Put, Both Hands</t>
  </si>
  <si>
    <t>Athletics Men's Javelin Throw, Both Hands</t>
  </si>
  <si>
    <t>Wrestling Men's Middleweight A, Greco-Roman</t>
  </si>
  <si>
    <t>Wrestling Men's Middleweight B, Greco-Roman</t>
  </si>
  <si>
    <t>Tennis Men's Singles, Covered Courts</t>
  </si>
  <si>
    <t>Tennis Men's Doubles, Covered Courts</t>
  </si>
  <si>
    <t>Tennis Mixed Doubles, Covered Courts</t>
  </si>
  <si>
    <t>Rowing Men's Coxed Fours, Outriggers</t>
  </si>
  <si>
    <t>Rowing Men's Coxed Fours, Inriggers</t>
  </si>
  <si>
    <t>Shooting Men's Dueling Pistol, 30 metres</t>
  </si>
  <si>
    <t>Shooting Men's Military Rifle, 200, 400, 500 and 600 metres, Team</t>
  </si>
  <si>
    <t>Shooting Men's Dueling Pistol, 30 metres, Team</t>
  </si>
  <si>
    <t>Shooting Men's Small-Bore Rifle, Disappearing Target, 25 metres</t>
  </si>
  <si>
    <t>Shooting Men's Small-Bore Rifle, Any Position, 50 metres</t>
  </si>
  <si>
    <t>Shooting Men's Small-Bore Rifle, Prone, 50 metres, Team</t>
  </si>
  <si>
    <t>Shooting Men's Small-Bore Rifle, Disappearing Target, 25 metres, Team</t>
  </si>
  <si>
    <t>Shooting Men's Military Rifle, Any Position, 600 metres</t>
  </si>
  <si>
    <t>Shooting Men's Military Rifle, Three Positions, 300 metres</t>
  </si>
  <si>
    <t>Tennis Women's Singles, Covered Courts</t>
  </si>
  <si>
    <t>Athletics Men's Javelin Throw, Freestyle</t>
  </si>
  <si>
    <t>Athletics Men's Discus Throw, Greek Style</t>
  </si>
  <si>
    <t>Athletics Men's 5 mile</t>
  </si>
  <si>
    <t>Athletics Men's 1,600 metres Medley Relay</t>
  </si>
  <si>
    <t>Athletics Men's 3,200 metres Steeplechase</t>
  </si>
  <si>
    <t>Athletics Men's 3 mile, Team</t>
  </si>
  <si>
    <t>Athletics Men's 3,500 metres Walk</t>
  </si>
  <si>
    <t>Athletics Men's 10 mile Walk</t>
  </si>
  <si>
    <t>Cycling Men's 5,000 metres</t>
  </si>
  <si>
    <t>Cycling Men's 20 kilometres</t>
  </si>
  <si>
    <t>Archery Men's Double York Round</t>
  </si>
  <si>
    <t>Cycling Men's 100 kilometres</t>
  </si>
  <si>
    <t>Archery Men's Continental Style</t>
  </si>
  <si>
    <t>Jeu De Paume Men's Singles</t>
  </si>
  <si>
    <t>Racquets Men's Singles</t>
  </si>
  <si>
    <t>Motorboating Mixed A-Class (Open)</t>
  </si>
  <si>
    <t>Motorboating Mixed B-Class (Under 60 Feet)</t>
  </si>
  <si>
    <t>Motorboating Mixed C-Class</t>
  </si>
  <si>
    <t>Cycling Men's Team Pursuit, 1,980 yards</t>
  </si>
  <si>
    <t>Shooting Men's Small-Bore Rifle, Prone, 50 and 100 yards</t>
  </si>
  <si>
    <t>Shooting Men's Small-Bore Rifle, Moving Target, 25 yards</t>
  </si>
  <si>
    <t>Shooting Men's Military Rifle, 200/500/600/800/900/1,000 Yards, Team</t>
  </si>
  <si>
    <t>Shooting Men's Free Pistol, 50 yards</t>
  </si>
  <si>
    <t>Shooting Men's Free Rifle, 1,000 Yards</t>
  </si>
  <si>
    <t>Shooting Men's Free Pistol, 50 yards, Team</t>
  </si>
  <si>
    <t>Shooting Men's Small-Bore Rifle, Disappearing Target, 25 yards</t>
  </si>
  <si>
    <t>Archery Women's Double National Round</t>
  </si>
  <si>
    <t>Lacrosse Men's Lacrosse</t>
  </si>
  <si>
    <t>Shooting Men's Small-Bore Rifle, 50 and 100 yards, Team</t>
  </si>
  <si>
    <t>Racquets Men's Doubles</t>
  </si>
  <si>
    <t>Figure Skating Men's Special Figures</t>
  </si>
  <si>
    <t>Gymnastics Men's Individual All-Around, 5 Events</t>
  </si>
  <si>
    <t>Athletics Men's Stone Throw</t>
  </si>
  <si>
    <t>Athletics Men's Pentathlon (Ancient)</t>
  </si>
  <si>
    <t>Athletics Men's 1,500 metres Walk</t>
  </si>
  <si>
    <t>Fencing Men's epee, Masters, Individual</t>
  </si>
  <si>
    <t>Fencing Men's Sabre, Masters, Individual</t>
  </si>
  <si>
    <t>Fencing Men's Sabre, Individual, Three Hits</t>
  </si>
  <si>
    <t>Swimming Men's One Mile Freestyle</t>
  </si>
  <si>
    <t>Rowing Men's Coxed Pairs (1 kilometres)</t>
  </si>
  <si>
    <t>Swimming Men's 4 x 250 metres Freestyle Relay</t>
  </si>
  <si>
    <t>Cycling Men's 333 metres Time Trial</t>
  </si>
  <si>
    <t>Rowing Men's Coxed Pairs (1 mile)</t>
  </si>
  <si>
    <t>Weightlifting Men's Unlimited, One Hand</t>
  </si>
  <si>
    <t>Weightlifting Men's Unlimited, Two Hands</t>
  </si>
  <si>
    <t>Shooting Men's Free Rifle, Any Position, 300 metres</t>
  </si>
  <si>
    <t>Shooting Men's Military Rifle, 1873-1874 Gras Model, Kneeling Or Standing, 200 metres</t>
  </si>
  <si>
    <t>Shooting Men's Military Rifle, Kneeling Or Standing, 300 metres</t>
  </si>
  <si>
    <t>Shooting Men's Free Pistol, 25 metres</t>
  </si>
  <si>
    <t>Shooting Men's Military Revolver, 1873-1874 Gras Model, 20 metres</t>
  </si>
  <si>
    <t>Shooting Men's Military Revolver, 20 metres</t>
  </si>
  <si>
    <t>Shooting Men's Dueling Pistol Au Vise 20 metres</t>
  </si>
  <si>
    <t>Shooting Men's Dueling Pistol Au Commandement, 25 metres</t>
  </si>
  <si>
    <t>Shooting Men's Trap, Single Shot, 16 metres</t>
  </si>
  <si>
    <t>Shooting Men's Trap, Double Shot, 14 metres</t>
  </si>
  <si>
    <t>Wrestling Men's All-Around, Greco-Roman</t>
  </si>
  <si>
    <t>Gymnastics Men's Individual All-Around, Field Sports</t>
  </si>
  <si>
    <t>Gymnastics Men's Individual All-Around, Apparatus Work</t>
  </si>
  <si>
    <t>Gymnastics Men's Individual All-Around, 4 Events</t>
  </si>
  <si>
    <t>Athletics Men's 60 metres</t>
  </si>
  <si>
    <t>Athletics Men's Standing Triple Jump</t>
  </si>
  <si>
    <t>Athletics Men's 200 metres Hurdles</t>
  </si>
  <si>
    <t>Athletics Men's All-Around Championship</t>
  </si>
  <si>
    <t>Athletics Men's 2,590 metres Steeplechase</t>
  </si>
  <si>
    <t>Swimming Men's 220 yard Freestyle</t>
  </si>
  <si>
    <t>Swimming Men's 880 yard Freestyle</t>
  </si>
  <si>
    <t>Swimming Men's 4 x 50 Yard Freestyle Relay</t>
  </si>
  <si>
    <t>Cycling Men's 1/4 mile</t>
  </si>
  <si>
    <t>Cycling Men's 1/2 mile</t>
  </si>
  <si>
    <t>Cycling Men's 2 mile</t>
  </si>
  <si>
    <t>Cycling Men's 5 mile</t>
  </si>
  <si>
    <t>Cycling Men's 25 mile</t>
  </si>
  <si>
    <t>Archery Men's Double American Round</t>
  </si>
  <si>
    <t>Archery Men's Team Round</t>
  </si>
  <si>
    <t>Swimming Men's 50 yard Freestyle</t>
  </si>
  <si>
    <t>Swimming Men's 100 yard Freestyle</t>
  </si>
  <si>
    <t>Cycling Men's 1/3 mile</t>
  </si>
  <si>
    <t>Cycling Men's 1 mile</t>
  </si>
  <si>
    <t>Swimming Men's 440 yard Freestyle</t>
  </si>
  <si>
    <t>Swimming Men's 100 Yard Backstroke</t>
  </si>
  <si>
    <t>Swimming Men's Plunge For Distance</t>
  </si>
  <si>
    <t>Archery Women's Double Columbia Round</t>
  </si>
  <si>
    <t>Weightlifting Men's All-Around Dumbbell Contest</t>
  </si>
  <si>
    <t>Athletics Men's 4 mile, Team</t>
  </si>
  <si>
    <t>Golf Men's Team</t>
  </si>
  <si>
    <t>Fencing Men's Single Sticks, Individual</t>
  </si>
  <si>
    <t>Archery Women's Team Round</t>
  </si>
  <si>
    <t>Swimming Men's 440 Yard Breaststroke</t>
  </si>
  <si>
    <t>Roque Men's Singles</t>
  </si>
  <si>
    <t>Athletics Men's 4,000 metres Steeplechase</t>
  </si>
  <si>
    <t>Athletics Men's 2,500 metres Steeplechase</t>
  </si>
  <si>
    <t>Shooting Men's Free Rifle, Kneeling, 300 metres</t>
  </si>
  <si>
    <t>Shooting Men's Free Rifle, Prone, 300 metres</t>
  </si>
  <si>
    <t>Shooting Men's Free Rifle, Standing, 300 metres</t>
  </si>
  <si>
    <t>Swimming Men's 4,000 metres Freestyle</t>
  </si>
  <si>
    <t>Swimming Men's Underwater Swimming</t>
  </si>
  <si>
    <t>Fencing Men's Foil, Masters, Individual</t>
  </si>
  <si>
    <t>Equestrianism Mixed Four-In-Hand Competition</t>
  </si>
  <si>
    <t>Sailing Mixed 0.5-1 Ton</t>
  </si>
  <si>
    <t>Sailing Mixed Open</t>
  </si>
  <si>
    <t>Equestrianism Mixed Hacks And Hunter Combined</t>
  </si>
  <si>
    <t>Swimming Men's 1,000 metres Freestyle</t>
  </si>
  <si>
    <t>Archery Men's Unknown Event</t>
  </si>
  <si>
    <t>Swimming Men's 200 metres Obstacle Course</t>
  </si>
  <si>
    <t>Sailing Mixed 3-10 Ton</t>
  </si>
  <si>
    <t>Equestrianism Mixed High Jump</t>
  </si>
  <si>
    <t>Archery Men's Au Chapelet, 50 metres</t>
  </si>
  <si>
    <t>Equestrianism Mixed Long Jump</t>
  </si>
  <si>
    <t>Sailing Mixed 1-2 Ton</t>
  </si>
  <si>
    <t>Swimming Men's 200 metres Team Swimming</t>
  </si>
  <si>
    <t>Sailing Mixed 20+ Ton</t>
  </si>
  <si>
    <t>Sailing Mixed 2-3 Ton</t>
  </si>
  <si>
    <t>Cycling Men's 25 kilometres</t>
  </si>
  <si>
    <t>Croquet Mixed Singles, One Ball</t>
  </si>
  <si>
    <t>Croquet Mixed Singles, Two Balls</t>
  </si>
  <si>
    <t>Archery Men's Au Cordon Dore, 50 metres</t>
  </si>
  <si>
    <t>Sailing Mixed 0-0.5 Ton</t>
  </si>
  <si>
    <t>Fencing Men's epee, Masters and Amateurs, Individual</t>
  </si>
  <si>
    <t>Athletics Men's 5,000 metres, Team</t>
  </si>
  <si>
    <t>Basque Pelota Men's Two-Man Teams With Cesta</t>
  </si>
  <si>
    <t>Archery Men's Sur La Perche a La Herse</t>
  </si>
  <si>
    <t>Archery Men's Sur La Perche a La Pyramide</t>
  </si>
  <si>
    <t>Archery Men's Au Chapelet, 33 metres</t>
  </si>
  <si>
    <t>Archery Men's Au Cordon Dore, 33 metres</t>
  </si>
  <si>
    <t>Archery Men's Championnat Du Monde</t>
  </si>
  <si>
    <t>Cricket Men's Cricket</t>
  </si>
  <si>
    <t>Sailing Mixed 10-20 Ton</t>
  </si>
  <si>
    <t>Croquet Mixed Doubles</t>
  </si>
  <si>
    <t>Shooting Men's Military Rifle, 200 metres</t>
  </si>
  <si>
    <t>Shooting Men's Military Pistol, 25 metres</t>
  </si>
  <si>
    <t>Shooting Men's Muzzle-Loading Pistol, 25 metres</t>
  </si>
  <si>
    <t>Cycling Men's 10,000 metres</t>
  </si>
  <si>
    <t>Wrestling Men's Unlimited Class, Greco-Roman</t>
  </si>
  <si>
    <t>Swimming Men's 1,200 metres Freestyle</t>
  </si>
  <si>
    <t>Gymnastics Men's Parallel Bars, Teams</t>
  </si>
  <si>
    <t>Gymnastics Men's Horizontal Bar, Teams</t>
  </si>
  <si>
    <t>Cycling Men's 12-Hours Race</t>
  </si>
  <si>
    <t>Swimming Men's 500 metres Freestyle</t>
  </si>
  <si>
    <t>Shooting Men's Free Pistol, 30 metres</t>
  </si>
  <si>
    <t>Q10.Are there any notable trends in the height and weight of participants over time?</t>
  </si>
  <si>
    <t>avg_height</t>
  </si>
  <si>
    <t>avg_weight</t>
  </si>
  <si>
    <t xml:space="preserve">    ROUND(AVG(person_height), 2) AS avg_height,</t>
  </si>
  <si>
    <t xml:space="preserve">    ROUND(AVG(person_weight), 2) AS avg_weight</t>
  </si>
  <si>
    <t xml:space="preserve">    SELECT DISTINCT</t>
  </si>
  <si>
    <t xml:space="preserve">        games_year,</t>
  </si>
  <si>
    <t xml:space="preserve">        person_id,</t>
  </si>
  <si>
    <t xml:space="preserve">        person_height,</t>
  </si>
  <si>
    <t xml:space="preserve">        person_weight</t>
  </si>
  <si>
    <t xml:space="preserve">    WHERE games_year IS NOT NULL</t>
  </si>
  <si>
    <t xml:space="preserve">      AND person_height &gt; 0</t>
  </si>
  <si>
    <t xml:space="preserve">      AND person_weight &gt; 0</t>
  </si>
  <si>
    <t>) AS unique_participants</t>
  </si>
  <si>
    <t>GROUP BY games_year</t>
  </si>
  <si>
    <t>ORDER BY games_year;</t>
  </si>
  <si>
    <t>Q11.Are there any dominant countries or regions in specific sports or events?</t>
  </si>
  <si>
    <t>WITH sport_region_medals AS (</t>
  </si>
  <si>
    <t>region_name</t>
  </si>
  <si>
    <t>medal_count</t>
  </si>
  <si>
    <t>Sport - Country</t>
  </si>
  <si>
    <t xml:space="preserve">    SELECT</t>
  </si>
  <si>
    <t xml:space="preserve">        sport_name,</t>
  </si>
  <si>
    <t xml:space="preserve">        region_name,</t>
  </si>
  <si>
    <t>Italy</t>
  </si>
  <si>
    <t xml:space="preserve">        COUNT(*) AS medal_count</t>
  </si>
  <si>
    <t>Canada</t>
  </si>
  <si>
    <t xml:space="preserve">    WHERE sport_name IS NOT NULL</t>
  </si>
  <si>
    <t xml:space="preserve">      AND region_name IS NOT NULL</t>
  </si>
  <si>
    <t>Soviet Union</t>
  </si>
  <si>
    <t xml:space="preserve">      AND medal_name IS NOT NULL</t>
  </si>
  <si>
    <t>Netherlands</t>
  </si>
  <si>
    <t xml:space="preserve">      AND medal_name &lt;&gt; 'NA'</t>
  </si>
  <si>
    <t xml:space="preserve">    GROUP BY sport_name, region_name</t>
  </si>
  <si>
    <t>Germany</t>
  </si>
  <si>
    <t>),</t>
  </si>
  <si>
    <t>ranked AS (</t>
  </si>
  <si>
    <t>Hungary</t>
  </si>
  <si>
    <t>Norway</t>
  </si>
  <si>
    <t xml:space="preserve">        medal_count,</t>
  </si>
  <si>
    <t xml:space="preserve">        ROW_NUMBER() OVER (</t>
  </si>
  <si>
    <t xml:space="preserve">            PARTITION BY sport_name</t>
  </si>
  <si>
    <t>Brazil</t>
  </si>
  <si>
    <t xml:space="preserve">            ORDER BY medal_count DESC</t>
  </si>
  <si>
    <t xml:space="preserve">        ) AS rn</t>
  </si>
  <si>
    <t xml:space="preserve">    FROM sport_region_medals</t>
  </si>
  <si>
    <t>Austria</t>
  </si>
  <si>
    <t>)</t>
  </si>
  <si>
    <t>Cuba</t>
  </si>
  <si>
    <t xml:space="preserve">    region_name,</t>
  </si>
  <si>
    <t xml:space="preserve">    medal_count</t>
  </si>
  <si>
    <t>FROM ranked</t>
  </si>
  <si>
    <t>Japan</t>
  </si>
  <si>
    <t>WHERE rn = 1</t>
  </si>
  <si>
    <t>China</t>
  </si>
  <si>
    <t>ORDER BY medal_count DESC;</t>
  </si>
  <si>
    <t>South Korea</t>
  </si>
  <si>
    <t>Russia</t>
  </si>
  <si>
    <t>South Africa</t>
  </si>
  <si>
    <t>Crete</t>
  </si>
  <si>
    <t>Q12.What factors contribute to the success or performance of participants from different countries?</t>
  </si>
  <si>
    <t>medal_winning_participants</t>
  </si>
  <si>
    <t>medal_success_rate</t>
  </si>
  <si>
    <t>avg_age</t>
  </si>
  <si>
    <t xml:space="preserve">    COUNT(DISTINCT person_id) AS total_participants,</t>
  </si>
  <si>
    <t>Unified Team</t>
  </si>
  <si>
    <t xml:space="preserve">    COUNT(DISTINCT CASE</t>
  </si>
  <si>
    <t>East Germany</t>
  </si>
  <si>
    <t xml:space="preserve">        WHEN medal_name IS NOT NULL</t>
  </si>
  <si>
    <t>Australasia</t>
  </si>
  <si>
    <t xml:space="preserve">         AND medal_name &lt;&gt; 'NA'</t>
  </si>
  <si>
    <t xml:space="preserve">        THEN person_id</t>
  </si>
  <si>
    <t xml:space="preserve">    END) AS medal_winning_participants,</t>
  </si>
  <si>
    <t>Montenegro</t>
  </si>
  <si>
    <t xml:space="preserve">    ROUND(</t>
  </si>
  <si>
    <t xml:space="preserve">        100.0 * COUNT(DISTINCT CASE</t>
  </si>
  <si>
    <t>Serbia</t>
  </si>
  <si>
    <t xml:space="preserve">            WHEN medal_name IS NOT NULL</t>
  </si>
  <si>
    <t xml:space="preserve">             AND medal_name &lt;&gt; 'NA'</t>
  </si>
  <si>
    <t>West Germany</t>
  </si>
  <si>
    <t xml:space="preserve">            THEN person_id</t>
  </si>
  <si>
    <t>Sweden</t>
  </si>
  <si>
    <t xml:space="preserve">        END)</t>
  </si>
  <si>
    <t>Serbia and Montenegro</t>
  </si>
  <si>
    <t xml:space="preserve">        / COUNT(DISTINCT person_id), 2</t>
  </si>
  <si>
    <t>Croatia</t>
  </si>
  <si>
    <t xml:space="preserve">    ) AS medal_success_rate,</t>
  </si>
  <si>
    <t>Pakistan</t>
  </si>
  <si>
    <t xml:space="preserve">    ROUND(AVG(games_competitor_age), 2) AS avg_age</t>
  </si>
  <si>
    <t>Yugoslavia</t>
  </si>
  <si>
    <t>WHERE region_name IS NOT NULL</t>
  </si>
  <si>
    <t>Denmark</t>
  </si>
  <si>
    <t xml:space="preserve">  AND region_name &lt;&gt; 'Unknown'</t>
  </si>
  <si>
    <t xml:space="preserve">  AND person_id IS NOT NULL</t>
  </si>
  <si>
    <t>GROUP BY region_name</t>
  </si>
  <si>
    <t>Finland</t>
  </si>
  <si>
    <t>HAVING total_participants &gt;= 20</t>
  </si>
  <si>
    <t>ORDER BY medal_success_rate DESC;</t>
  </si>
  <si>
    <t>Jamaica</t>
  </si>
  <si>
    <t>Australia</t>
  </si>
  <si>
    <t>Romania</t>
  </si>
  <si>
    <t>Czechoslovakia</t>
  </si>
  <si>
    <t>Azerbaijan</t>
  </si>
  <si>
    <t>Bulgaria</t>
  </si>
  <si>
    <t>Lithuania</t>
  </si>
  <si>
    <t>Nigeria</t>
  </si>
  <si>
    <t>Georgia</t>
  </si>
  <si>
    <t>India</t>
  </si>
  <si>
    <t>Ukraine</t>
  </si>
  <si>
    <t>Kenya</t>
  </si>
  <si>
    <t>Czech Republic</t>
  </si>
  <si>
    <t>Paraguay</t>
  </si>
  <si>
    <t>Belgium</t>
  </si>
  <si>
    <t>Belarus</t>
  </si>
  <si>
    <t>Bahamas</t>
  </si>
  <si>
    <t>Poland</t>
  </si>
  <si>
    <t>Bohemia</t>
  </si>
  <si>
    <t>North Korea</t>
  </si>
  <si>
    <t>Ethiopia</t>
  </si>
  <si>
    <t>Argentina</t>
  </si>
  <si>
    <t>Indonesia</t>
  </si>
  <si>
    <t>Uruguay</t>
  </si>
  <si>
    <t>Individual Olympic Athletes</t>
  </si>
  <si>
    <t>Armenia</t>
  </si>
  <si>
    <t>New Zealand</t>
  </si>
  <si>
    <t>Uzbekistan</t>
  </si>
  <si>
    <t>Trinidad and Tobago</t>
  </si>
  <si>
    <t>Estonia</t>
  </si>
  <si>
    <t>Iran</t>
  </si>
  <si>
    <t>Kazakhstan</t>
  </si>
  <si>
    <t>Fiji</t>
  </si>
  <si>
    <t>Cameroon</t>
  </si>
  <si>
    <t>Ghana</t>
  </si>
  <si>
    <t>Turkey</t>
  </si>
  <si>
    <t>Tajikistan</t>
  </si>
  <si>
    <t>Slovenia</t>
  </si>
  <si>
    <t>Mongolia</t>
  </si>
  <si>
    <t>Greece</t>
  </si>
  <si>
    <t>Taiwan</t>
  </si>
  <si>
    <t>Burundi</t>
  </si>
  <si>
    <t>Zimbabwe</t>
  </si>
  <si>
    <t>Moldova</t>
  </si>
  <si>
    <t>Mexico</t>
  </si>
  <si>
    <t>Latvia</t>
  </si>
  <si>
    <t>Thailand</t>
  </si>
  <si>
    <t>Slovakia</t>
  </si>
  <si>
    <t>Chile</t>
  </si>
  <si>
    <t>Iceland</t>
  </si>
  <si>
    <t>Portugal</t>
  </si>
  <si>
    <t>Morocco</t>
  </si>
  <si>
    <t>Malaysia</t>
  </si>
  <si>
    <t>Peru</t>
  </si>
  <si>
    <t>United Arab Republic</t>
  </si>
  <si>
    <t>Ireland</t>
  </si>
  <si>
    <t>Saudi Arabia</t>
  </si>
  <si>
    <t>Albania</t>
  </si>
  <si>
    <t>Macedonia</t>
  </si>
  <si>
    <t>Kyrgyzstan</t>
  </si>
  <si>
    <t>Djibouti</t>
  </si>
  <si>
    <t>Eritrea</t>
  </si>
  <si>
    <t>Liechtenstein</t>
  </si>
  <si>
    <t>Algeria</t>
  </si>
  <si>
    <t>Colombia</t>
  </si>
  <si>
    <t>Bahrain</t>
  </si>
  <si>
    <t>Niger</t>
  </si>
  <si>
    <t>Uganda</t>
  </si>
  <si>
    <t>United Arab Emirates</t>
  </si>
  <si>
    <t>Suriname</t>
  </si>
  <si>
    <t>Qatar</t>
  </si>
  <si>
    <t>Singapore</t>
  </si>
  <si>
    <t>Dominican Republic</t>
  </si>
  <si>
    <t>Vietnam</t>
  </si>
  <si>
    <t>Lebanon</t>
  </si>
  <si>
    <t>Saar</t>
  </si>
  <si>
    <t>Venezuela</t>
  </si>
  <si>
    <t>Ivory Coast</t>
  </si>
  <si>
    <t>Philippines</t>
  </si>
  <si>
    <t>Tonga</t>
  </si>
  <si>
    <t>Grenada</t>
  </si>
  <si>
    <t>Namibia</t>
  </si>
  <si>
    <t>Togo</t>
  </si>
  <si>
    <t>Egypt</t>
  </si>
  <si>
    <t>Turkmenistan</t>
  </si>
  <si>
    <t>Panama</t>
  </si>
  <si>
    <t>Mozambique</t>
  </si>
  <si>
    <t>Syria</t>
  </si>
  <si>
    <t>Israel</t>
  </si>
  <si>
    <t>Sri Lanka</t>
  </si>
  <si>
    <t>Sudan</t>
  </si>
  <si>
    <t>Gabon</t>
  </si>
  <si>
    <t>Tanzania</t>
  </si>
  <si>
    <t>Tunisia</t>
  </si>
  <si>
    <t>Netherlands Antilles</t>
  </si>
  <si>
    <t>Jordan</t>
  </si>
  <si>
    <t>Botswana</t>
  </si>
  <si>
    <t>Luxembourg</t>
  </si>
  <si>
    <t>Afghanistan</t>
  </si>
  <si>
    <t>Puerto Rico</t>
  </si>
  <si>
    <t>Haiti</t>
  </si>
  <si>
    <t>Guyana</t>
  </si>
  <si>
    <t>Costa Rica</t>
  </si>
  <si>
    <t>Monaco</t>
  </si>
  <si>
    <t>Hong Kong</t>
  </si>
  <si>
    <t>Kuwait</t>
  </si>
  <si>
    <t>Mauritius</t>
  </si>
  <si>
    <t>Barbados</t>
  </si>
  <si>
    <t>Bermuda</t>
  </si>
  <si>
    <t>Zambia</t>
  </si>
  <si>
    <t>Cyprus</t>
  </si>
  <si>
    <t>Virgin Islands</t>
  </si>
  <si>
    <t>Ecuador</t>
  </si>
  <si>
    <t>Senegal</t>
  </si>
  <si>
    <t>Guatemala</t>
  </si>
  <si>
    <t>American Samoa</t>
  </si>
  <si>
    <t>Andorra</t>
  </si>
  <si>
    <t>Angola</t>
  </si>
  <si>
    <t>Antigua and Barbuda</t>
  </si>
  <si>
    <t>Aruba</t>
  </si>
  <si>
    <t>Bangladesh</t>
  </si>
  <si>
    <t>Belize</t>
  </si>
  <si>
    <t>Benin</t>
  </si>
  <si>
    <t>Bhutan</t>
  </si>
  <si>
    <t>Boliva</t>
  </si>
  <si>
    <t>Bosnia and Herzegovina</t>
  </si>
  <si>
    <t>Burkina Faso</t>
  </si>
  <si>
    <t>Cambodia</t>
  </si>
  <si>
    <t>Cayman Islands</t>
  </si>
  <si>
    <t>Central African Republic</t>
  </si>
  <si>
    <t>Chad</t>
  </si>
  <si>
    <t>Cook Islands</t>
  </si>
  <si>
    <t>Democratic Republic of the Congo</t>
  </si>
  <si>
    <t>El Salvador</t>
  </si>
  <si>
    <t>Equatorial Guinea</t>
  </si>
  <si>
    <t>Gambia</t>
  </si>
  <si>
    <t>Guam</t>
  </si>
  <si>
    <t>Guinea</t>
  </si>
  <si>
    <t>Honduras</t>
  </si>
  <si>
    <t>Iraq</t>
  </si>
  <si>
    <t>Laos</t>
  </si>
  <si>
    <t>Lesotho</t>
  </si>
  <si>
    <t>Liberia</t>
  </si>
  <si>
    <t>Libya</t>
  </si>
  <si>
    <t>Madagascar</t>
  </si>
  <si>
    <t>Malawi</t>
  </si>
  <si>
    <t>Maldives</t>
  </si>
  <si>
    <t>Mali</t>
  </si>
  <si>
    <t>Malta</t>
  </si>
  <si>
    <t>Mauritania</t>
  </si>
  <si>
    <t>Myanmar</t>
  </si>
  <si>
    <t>Nepal</t>
  </si>
  <si>
    <t>Nicaragua</t>
  </si>
  <si>
    <t>Oman</t>
  </si>
  <si>
    <t>Palau</t>
  </si>
  <si>
    <t>Palestine</t>
  </si>
  <si>
    <t>Papua New Guinea</t>
  </si>
  <si>
    <t>Republic of Congo</t>
  </si>
  <si>
    <t>Rwanda</t>
  </si>
  <si>
    <t>Saint Lucia</t>
  </si>
  <si>
    <t>Saint Vincent</t>
  </si>
  <si>
    <t>Samoa</t>
  </si>
  <si>
    <t>San Marino</t>
  </si>
  <si>
    <t>Seychelles</t>
  </si>
  <si>
    <t>Sierra Leone</t>
  </si>
  <si>
    <t>Swaziland</t>
  </si>
  <si>
    <t>Vanuatu</t>
  </si>
  <si>
    <t>Vietnam (pre)</t>
  </si>
  <si>
    <t>Yemen</t>
  </si>
  <si>
    <t>Q13.Are there any countries that consistently perform well in multiple Olympic editions?</t>
  </si>
  <si>
    <t>editions_with_medals</t>
  </si>
  <si>
    <t>total_medals</t>
  </si>
  <si>
    <t xml:space="preserve">    COUNT(DISTINCT game_id) AS editions_with_medals,</t>
  </si>
  <si>
    <t xml:space="preserve">    COUNT(DISTINCT CONCAT(</t>
  </si>
  <si>
    <t xml:space="preserve">        game_id, '|', event_name, '|', medal_name</t>
  </si>
  <si>
    <t xml:space="preserve">    )) AS total_medals</t>
  </si>
  <si>
    <t xml:space="preserve">  AND game_id IS NOT NULL</t>
  </si>
  <si>
    <t xml:space="preserve">  AND event_name IS NOT NULL</t>
  </si>
  <si>
    <t xml:space="preserve">  AND medal_name IS NOT NULL</t>
  </si>
  <si>
    <t xml:space="preserve">  AND medal_name &lt;&gt; 'NA'</t>
  </si>
  <si>
    <t>HAVING COUNT(DISTINCT game_id) &gt;= 5</t>
  </si>
  <si>
    <t>ORDER BY editions_with_medals DESC, total_medals DESC;</t>
  </si>
  <si>
    <t>Q14.Are there any sports or events that have a higher number of medalists from a specific region?</t>
  </si>
  <si>
    <t>WITH sport_region AS (</t>
  </si>
  <si>
    <t>medalists</t>
  </si>
  <si>
    <t>sport_ region</t>
  </si>
  <si>
    <t xml:space="preserve">        COUNT(DISTINCT person_id) AS medalists</t>
  </si>
  <si>
    <t xml:space="preserve">      AND region_name &lt;&gt; 'Unknown'</t>
  </si>
  <si>
    <t xml:space="preserve">      AND person_id IS NOT NULL</t>
  </si>
  <si>
    <t xml:space="preserve">        medalists,</t>
  </si>
  <si>
    <t xml:space="preserve">            ORDER BY medalists DESC</t>
  </si>
  <si>
    <t xml:space="preserve">    FROM sport_region</t>
  </si>
  <si>
    <t xml:space="preserve">    medalists</t>
  </si>
  <si>
    <t>ORDER BY medalists DESC;</t>
  </si>
  <si>
    <t>Q15.What are some notable instances of unexpected or surprising medal wins?</t>
  </si>
  <si>
    <t>Region - Sport</t>
  </si>
  <si>
    <t xml:space="preserve">    COUNT(DISTINCT person_id) AS medalists</t>
  </si>
  <si>
    <t>GROUP BY region_name, sport_name</t>
  </si>
  <si>
    <t>HAVING COUNT(DISTINCT person_id) &lt;= 3</t>
  </si>
  <si>
    <t>ORDER BY medalists DESC, region_name, sport_name;</t>
  </si>
  <si>
    <t>Kosovo</t>
  </si>
  <si>
    <t>Unknown</t>
  </si>
  <si>
    <t>Q16.Are there any regions that have experienced significant growth or decline in Olympic participation?</t>
  </si>
  <si>
    <t>WITH region_year AS (</t>
  </si>
  <si>
    <t>first_year_participants</t>
  </si>
  <si>
    <t>last_year_participants</t>
  </si>
  <si>
    <t>participation_change</t>
  </si>
  <si>
    <t xml:space="preserve">        COUNT(DISTINCT person_id) AS participants</t>
  </si>
  <si>
    <t xml:space="preserve">    WHERE region_name IS NOT NULL</t>
  </si>
  <si>
    <t xml:space="preserve">      AND games_year IS NOT NULL</t>
  </si>
  <si>
    <t xml:space="preserve">    GROUP BY region_name, games_year</t>
  </si>
  <si>
    <t>first_last AS (</t>
  </si>
  <si>
    <t xml:space="preserve">        MIN(games_year) AS first_year,</t>
  </si>
  <si>
    <t xml:space="preserve">        MAX(games_year) AS last_year</t>
  </si>
  <si>
    <t xml:space="preserve">    FROM region_year</t>
  </si>
  <si>
    <t xml:space="preserve">    GROUP BY region_name</t>
  </si>
  <si>
    <t xml:space="preserve">    f.region_name,</t>
  </si>
  <si>
    <t xml:space="preserve">    f.first_year,</t>
  </si>
  <si>
    <t xml:space="preserve">    r1.participants AS first_year_participants,</t>
  </si>
  <si>
    <t xml:space="preserve">    f.last_year,</t>
  </si>
  <si>
    <t xml:space="preserve">    r2.participants AS last_year_participants,</t>
  </si>
  <si>
    <t xml:space="preserve">    (r2.participants - r1.participants) AS participation_change</t>
  </si>
  <si>
    <t>FROM first_last f</t>
  </si>
  <si>
    <t>JOIN region_year r1</t>
  </si>
  <si>
    <t xml:space="preserve">    ON f.region_name = r1.region_name</t>
  </si>
  <si>
    <t xml:space="preserve">   AND f.first_year = r1.games_year</t>
  </si>
  <si>
    <t>JOIN region_year r2</t>
  </si>
  <si>
    <t xml:space="preserve">    ON f.region_name = r2.region_name</t>
  </si>
  <si>
    <t xml:space="preserve">   AND f.last_year = r2.games_year</t>
  </si>
  <si>
    <t>WHERE f.first_year &lt;&gt; f.last_year</t>
  </si>
  <si>
    <t>ORDER BY participation_change DESC;</t>
  </si>
  <si>
    <t>North Yemen</t>
  </si>
  <si>
    <t>Brunei</t>
  </si>
  <si>
    <t>Cape Verde</t>
  </si>
  <si>
    <t>Guinea-Bissau</t>
  </si>
  <si>
    <t>South Sudan</t>
  </si>
  <si>
    <t>Timor-Leste</t>
  </si>
  <si>
    <t>Nauru</t>
  </si>
  <si>
    <t>Sao Tome and Principe</t>
  </si>
  <si>
    <t>Solomon Islands</t>
  </si>
  <si>
    <t>Comoros</t>
  </si>
  <si>
    <t>Kiribati</t>
  </si>
  <si>
    <t>Marshall Islands</t>
  </si>
  <si>
    <t>Micronesia</t>
  </si>
  <si>
    <t>Newfoundland</t>
  </si>
  <si>
    <t>Somalia</t>
  </si>
  <si>
    <t>Tuvalu</t>
  </si>
  <si>
    <t>West Indies Federation</t>
  </si>
  <si>
    <t>Dominica</t>
  </si>
  <si>
    <t>Turks and Caicos Islands</t>
  </si>
  <si>
    <t>Malaya</t>
  </si>
  <si>
    <t>Zimbabwe (Rhodesia)</t>
  </si>
  <si>
    <t>Q17.How do cultural or geographical factors influence the performance of regions in specific sports?</t>
  </si>
  <si>
    <t>Sport _Region</t>
  </si>
  <si>
    <t>GROUP BY sport_name, region_name</t>
  </si>
  <si>
    <t>ORDER BY medalists DESC</t>
  </si>
  <si>
    <t>LIMIT 20;</t>
  </si>
  <si>
    <t>Q18.Are there any regions that have had a notable impact on the overall medal tally?</t>
  </si>
  <si>
    <t xml:space="preserve">        games_year, '|', event_name, '|', medal_name</t>
  </si>
  <si>
    <t>ORDER BY total_medals 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</si>
</sst>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color rgb="FF000000"/>
      <name val="Calibri"/>
      <charset val="1"/>
    </font>
    <font>
      <b/>
      <sz val="11"/>
      <color theme="1"/>
      <name val="Calibri"/>
      <family val="2"/>
      <scheme val="minor"/>
    </font>
    <font>
      <b/>
      <sz val="13.5"/>
      <color theme="1"/>
      <name val="Calibri"/>
      <family val="2"/>
      <scheme val="minor"/>
    </font>
    <font>
      <b/>
      <sz val="18"/>
      <color rgb="FF000000"/>
      <name val="Calibri"/>
      <scheme val="minor"/>
    </font>
    <font>
      <b/>
      <sz val="14"/>
      <color theme="1"/>
      <name val="Calibri"/>
      <family val="2"/>
      <scheme val="minor"/>
    </font>
    <font>
      <sz val="14"/>
      <color theme="1"/>
      <name val="Calibri"/>
      <family val="2"/>
      <scheme val="minor"/>
    </font>
    <font>
      <b/>
      <sz val="14"/>
      <color rgb="FF000000"/>
      <name val="Calibri"/>
      <scheme val="minor"/>
    </font>
    <font>
      <sz val="14"/>
      <color rgb="FF000000"/>
      <name val="Calibri"/>
      <scheme val="minor"/>
    </font>
  </fonts>
  <fills count="6">
    <fill>
      <patternFill patternType="none"/>
    </fill>
    <fill>
      <patternFill patternType="gray125"/>
    </fill>
    <fill>
      <patternFill patternType="solid">
        <fgColor theme="8" tint="0.39997558519241921"/>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5" tint="0.59999389629810485"/>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1">
    <xf numFmtId="0" fontId="0" fillId="0" borderId="0"/>
  </cellStyleXfs>
  <cellXfs count="35">
    <xf numFmtId="0" fontId="0" fillId="0" borderId="0" xfId="0"/>
    <xf numFmtId="0" fontId="0" fillId="0" borderId="1" xfId="0" applyBorder="1"/>
    <xf numFmtId="0" fontId="0" fillId="2" borderId="0" xfId="0" applyFill="1"/>
    <xf numFmtId="0" fontId="0" fillId="3" borderId="0" xfId="0" applyFill="1"/>
    <xf numFmtId="0" fontId="0" fillId="0" borderId="0" xfId="0" applyBorder="1"/>
    <xf numFmtId="0" fontId="0" fillId="0" borderId="3" xfId="0" applyBorder="1"/>
    <xf numFmtId="0" fontId="0" fillId="0" borderId="4" xfId="0" applyBorder="1"/>
    <xf numFmtId="0" fontId="0" fillId="0" borderId="2" xfId="0" applyBorder="1" applyAlignment="1">
      <alignment horizontal="center"/>
    </xf>
    <xf numFmtId="0" fontId="0" fillId="0" borderId="0" xfId="0" applyBorder="1" applyAlignment="1">
      <alignment horizontal="center"/>
    </xf>
    <xf numFmtId="0" fontId="0" fillId="0" borderId="6" xfId="0" applyBorder="1"/>
    <xf numFmtId="0" fontId="0" fillId="0" borderId="5" xfId="0" applyBorder="1"/>
    <xf numFmtId="0" fontId="2" fillId="0" borderId="0" xfId="0" applyFont="1"/>
    <xf numFmtId="0" fontId="0" fillId="0" borderId="0" xfId="0" pivotButton="1"/>
    <xf numFmtId="0" fontId="0" fillId="0" borderId="0" xfId="0" applyNumberFormat="1"/>
    <xf numFmtId="0" fontId="0" fillId="5" borderId="0" xfId="0" applyFill="1"/>
    <xf numFmtId="0" fontId="0" fillId="5" borderId="1" xfId="0" applyFill="1" applyBorder="1" applyAlignment="1">
      <alignment horizontal="center"/>
    </xf>
    <xf numFmtId="0" fontId="0" fillId="5" borderId="2" xfId="0" applyFill="1" applyBorder="1" applyAlignment="1">
      <alignment horizontal="center"/>
    </xf>
    <xf numFmtId="0" fontId="0" fillId="5" borderId="1" xfId="0" applyFill="1" applyBorder="1"/>
    <xf numFmtId="0" fontId="0" fillId="5" borderId="0" xfId="0" applyFill="1" applyBorder="1" applyAlignment="1">
      <alignment horizontal="center"/>
    </xf>
    <xf numFmtId="0" fontId="0" fillId="0" borderId="5" xfId="0" applyBorder="1" applyAlignment="1">
      <alignment horizontal="center"/>
    </xf>
    <xf numFmtId="0" fontId="0" fillId="0" borderId="1" xfId="0" applyBorder="1" applyAlignment="1">
      <alignment horizontal="center"/>
    </xf>
    <xf numFmtId="0" fontId="0" fillId="5" borderId="5" xfId="0" applyFill="1" applyBorder="1" applyAlignment="1">
      <alignment horizontal="center"/>
    </xf>
    <xf numFmtId="0" fontId="0" fillId="5" borderId="6" xfId="0" applyFill="1" applyBorder="1" applyAlignment="1">
      <alignment horizontal="center"/>
    </xf>
    <xf numFmtId="0" fontId="0" fillId="0" borderId="6" xfId="0" applyBorder="1" applyAlignment="1">
      <alignment horizontal="center"/>
    </xf>
    <xf numFmtId="0" fontId="0" fillId="0" borderId="7" xfId="0" applyBorder="1"/>
    <xf numFmtId="0" fontId="3" fillId="0" borderId="0" xfId="0" applyFont="1" applyAlignment="1">
      <alignment horizont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xf numFmtId="0" fontId="1" fillId="0" borderId="0" xfId="0" applyFont="1" applyAlignment="1">
      <alignment horizontal="center"/>
    </xf>
    <xf numFmtId="0" fontId="0" fillId="3" borderId="0" xfId="0" applyFill="1" applyAlignment="1">
      <alignment horizontal="center"/>
    </xf>
    <xf numFmtId="0" fontId="0" fillId="4" borderId="0" xfId="0" applyFill="1" applyAlignment="1">
      <alignment horizontal="center"/>
    </xf>
    <xf numFmtId="0" fontId="0" fillId="0" borderId="5" xfId="0" applyBorder="1" applyAlignment="1">
      <alignment horizontal="center"/>
    </xf>
    <xf numFmtId="0" fontId="0" fillId="0" borderId="1" xfId="0"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Gap Between Olympic Games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'Question-1'!$L$3</c:f>
              <c:strCache>
                <c:ptCount val="1"/>
                <c:pt idx="0">
                  <c:v>gap_years</c:v>
                </c:pt>
              </c:strCache>
            </c:strRef>
          </c:tx>
          <c:spPr>
            <a:ln w="19050" cap="rnd">
              <a:solidFill>
                <a:schemeClr val="accent1"/>
              </a:solidFill>
              <a:round/>
            </a:ln>
            <a:effectLst/>
          </c:spPr>
          <c:marker>
            <c:symbol val="none"/>
          </c:marker>
          <c:xVal>
            <c:numRef>
              <c:f>'Question-1'!$K$4:$K$54</c:f>
              <c:numCache>
                <c:formatCode>General</c:formatCode>
                <c:ptCount val="51"/>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1996</c:v>
                </c:pt>
                <c:pt idx="24">
                  <c:v>2000</c:v>
                </c:pt>
                <c:pt idx="25">
                  <c:v>2004</c:v>
                </c:pt>
                <c:pt idx="26">
                  <c:v>2008</c:v>
                </c:pt>
                <c:pt idx="27">
                  <c:v>2012</c:v>
                </c:pt>
                <c:pt idx="28">
                  <c:v>2016</c:v>
                </c:pt>
                <c:pt idx="29">
                  <c:v>1924</c:v>
                </c:pt>
                <c:pt idx="30">
                  <c:v>1928</c:v>
                </c:pt>
                <c:pt idx="31">
                  <c:v>1932</c:v>
                </c:pt>
                <c:pt idx="32">
                  <c:v>1936</c:v>
                </c:pt>
                <c:pt idx="33">
                  <c:v>1948</c:v>
                </c:pt>
                <c:pt idx="34">
                  <c:v>1952</c:v>
                </c:pt>
                <c:pt idx="35">
                  <c:v>1956</c:v>
                </c:pt>
                <c:pt idx="36">
                  <c:v>1960</c:v>
                </c:pt>
                <c:pt idx="37">
                  <c:v>1964</c:v>
                </c:pt>
                <c:pt idx="38">
                  <c:v>1968</c:v>
                </c:pt>
                <c:pt idx="39">
                  <c:v>1972</c:v>
                </c:pt>
                <c:pt idx="40">
                  <c:v>1976</c:v>
                </c:pt>
                <c:pt idx="41">
                  <c:v>1980</c:v>
                </c:pt>
                <c:pt idx="42">
                  <c:v>1984</c:v>
                </c:pt>
                <c:pt idx="43">
                  <c:v>1988</c:v>
                </c:pt>
                <c:pt idx="44">
                  <c:v>1992</c:v>
                </c:pt>
                <c:pt idx="45">
                  <c:v>1994</c:v>
                </c:pt>
                <c:pt idx="46">
                  <c:v>1998</c:v>
                </c:pt>
                <c:pt idx="47">
                  <c:v>2002</c:v>
                </c:pt>
                <c:pt idx="48">
                  <c:v>2006</c:v>
                </c:pt>
                <c:pt idx="49">
                  <c:v>2010</c:v>
                </c:pt>
                <c:pt idx="50">
                  <c:v>2014</c:v>
                </c:pt>
              </c:numCache>
            </c:numRef>
          </c:xVal>
          <c:yVal>
            <c:numRef>
              <c:f>'Question-1'!$L$4:$L$54</c:f>
              <c:numCache>
                <c:formatCode>General</c:formatCode>
                <c:ptCount val="51"/>
                <c:pt idx="1">
                  <c:v>4</c:v>
                </c:pt>
                <c:pt idx="2">
                  <c:v>4</c:v>
                </c:pt>
                <c:pt idx="3">
                  <c:v>2</c:v>
                </c:pt>
                <c:pt idx="4">
                  <c:v>2</c:v>
                </c:pt>
                <c:pt idx="5">
                  <c:v>4</c:v>
                </c:pt>
                <c:pt idx="6">
                  <c:v>8</c:v>
                </c:pt>
                <c:pt idx="7">
                  <c:v>4</c:v>
                </c:pt>
                <c:pt idx="8">
                  <c:v>4</c:v>
                </c:pt>
                <c:pt idx="9">
                  <c:v>4</c:v>
                </c:pt>
                <c:pt idx="10">
                  <c:v>4</c:v>
                </c:pt>
                <c:pt idx="11">
                  <c:v>12</c:v>
                </c:pt>
                <c:pt idx="12">
                  <c:v>4</c:v>
                </c:pt>
                <c:pt idx="13">
                  <c:v>4</c:v>
                </c:pt>
                <c:pt idx="14">
                  <c:v>4</c:v>
                </c:pt>
                <c:pt idx="15">
                  <c:v>4</c:v>
                </c:pt>
                <c:pt idx="16">
                  <c:v>4</c:v>
                </c:pt>
                <c:pt idx="17">
                  <c:v>4</c:v>
                </c:pt>
                <c:pt idx="18">
                  <c:v>4</c:v>
                </c:pt>
                <c:pt idx="19">
                  <c:v>4</c:v>
                </c:pt>
                <c:pt idx="20">
                  <c:v>4</c:v>
                </c:pt>
                <c:pt idx="21">
                  <c:v>4</c:v>
                </c:pt>
                <c:pt idx="22">
                  <c:v>4</c:v>
                </c:pt>
                <c:pt idx="23">
                  <c:v>4</c:v>
                </c:pt>
                <c:pt idx="24">
                  <c:v>4</c:v>
                </c:pt>
                <c:pt idx="25">
                  <c:v>4</c:v>
                </c:pt>
                <c:pt idx="26">
                  <c:v>4</c:v>
                </c:pt>
                <c:pt idx="27">
                  <c:v>4</c:v>
                </c:pt>
                <c:pt idx="28">
                  <c:v>4</c:v>
                </c:pt>
                <c:pt idx="30">
                  <c:v>4</c:v>
                </c:pt>
                <c:pt idx="31">
                  <c:v>4</c:v>
                </c:pt>
                <c:pt idx="32">
                  <c:v>4</c:v>
                </c:pt>
                <c:pt idx="33">
                  <c:v>12</c:v>
                </c:pt>
                <c:pt idx="34">
                  <c:v>4</c:v>
                </c:pt>
                <c:pt idx="35">
                  <c:v>4</c:v>
                </c:pt>
                <c:pt idx="36">
                  <c:v>4</c:v>
                </c:pt>
                <c:pt idx="37">
                  <c:v>4</c:v>
                </c:pt>
                <c:pt idx="38">
                  <c:v>4</c:v>
                </c:pt>
                <c:pt idx="39">
                  <c:v>4</c:v>
                </c:pt>
                <c:pt idx="40">
                  <c:v>4</c:v>
                </c:pt>
                <c:pt idx="41">
                  <c:v>4</c:v>
                </c:pt>
                <c:pt idx="42">
                  <c:v>4</c:v>
                </c:pt>
                <c:pt idx="43">
                  <c:v>4</c:v>
                </c:pt>
                <c:pt idx="44">
                  <c:v>4</c:v>
                </c:pt>
                <c:pt idx="45">
                  <c:v>2</c:v>
                </c:pt>
                <c:pt idx="46">
                  <c:v>4</c:v>
                </c:pt>
                <c:pt idx="47">
                  <c:v>4</c:v>
                </c:pt>
                <c:pt idx="48">
                  <c:v>4</c:v>
                </c:pt>
                <c:pt idx="49">
                  <c:v>4</c:v>
                </c:pt>
                <c:pt idx="50">
                  <c:v>4</c:v>
                </c:pt>
              </c:numCache>
            </c:numRef>
          </c:yVal>
          <c:smooth val="0"/>
          <c:extLst>
            <c:ext xmlns:c16="http://schemas.microsoft.com/office/drawing/2014/chart" uri="{C3380CC4-5D6E-409C-BE32-E72D297353CC}">
              <c16:uniqueId val="{00000000-BF16-4C29-B209-D4A79AFE1293}"/>
            </c:ext>
          </c:extLst>
        </c:ser>
        <c:dLbls>
          <c:showLegendKey val="0"/>
          <c:showVal val="0"/>
          <c:showCatName val="0"/>
          <c:showSerName val="0"/>
          <c:showPercent val="0"/>
          <c:showBubbleSize val="0"/>
        </c:dLbls>
        <c:axId val="1493116936"/>
        <c:axId val="1493131784"/>
      </c:scatterChart>
      <c:valAx>
        <c:axId val="1493116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Olympic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131784"/>
        <c:crosses val="autoZero"/>
        <c:crossBetween val="midCat"/>
      </c:valAx>
      <c:valAx>
        <c:axId val="1493131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Gap (Years)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11693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Gap Between Olympic Games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{"Summer"}</c:f>
              <c:strCache>
                <c:ptCount val="1"/>
                <c:pt idx="0">
                  <c:v>Summer</c:v>
                </c:pt>
              </c:strCache>
            </c:strRef>
          </c:tx>
          <c:spPr>
            <a:ln w="28575" cap="rnd">
              <a:solidFill>
                <a:srgbClr val="4472C4"/>
              </a:solidFill>
              <a:prstDash val="solid"/>
              <a:round/>
            </a:ln>
            <a:effectLst/>
          </c:spPr>
          <c:marker>
            <c:symbol val="none"/>
          </c:marker>
          <c:cat>
            <c:numRef>
              <c:f>'Question-2'!L13:L47</c:f>
              <c:numCache>
                <c:formatCode>General</c:formatCod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numCache>
            </c:numRef>
          </c:cat>
          <c:val>
            <c:numRef>
              <c:f>'Question-2'!M13:M47</c:f>
              <c:numCache>
                <c:formatCode>General</c:formatCode>
                <c:ptCount val="35"/>
                <c:pt idx="0">
                  <c:v>0</c:v>
                </c:pt>
                <c:pt idx="1">
                  <c:v>4</c:v>
                </c:pt>
                <c:pt idx="2">
                  <c:v>4</c:v>
                </c:pt>
                <c:pt idx="3">
                  <c:v>2</c:v>
                </c:pt>
                <c:pt idx="4">
                  <c:v>2</c:v>
                </c:pt>
                <c:pt idx="5">
                  <c:v>4</c:v>
                </c:pt>
                <c:pt idx="6">
                  <c:v>8</c:v>
                </c:pt>
                <c:pt idx="7">
                  <c:v>4</c:v>
                </c:pt>
                <c:pt idx="8">
                  <c:v>4</c:v>
                </c:pt>
                <c:pt idx="9">
                  <c:v>4</c:v>
                </c:pt>
                <c:pt idx="10">
                  <c:v>4</c:v>
                </c:pt>
                <c:pt idx="11">
                  <c:v>12</c:v>
                </c:pt>
                <c:pt idx="12">
                  <c:v>4</c:v>
                </c:pt>
                <c:pt idx="13">
                  <c:v>4</c:v>
                </c:pt>
                <c:pt idx="14">
                  <c:v>4</c:v>
                </c:pt>
                <c:pt idx="15">
                  <c:v>4</c:v>
                </c:pt>
                <c:pt idx="16">
                  <c:v>4</c:v>
                </c:pt>
                <c:pt idx="17">
                  <c:v>4</c:v>
                </c:pt>
                <c:pt idx="18">
                  <c:v>4</c:v>
                </c:pt>
                <c:pt idx="19">
                  <c:v>4</c:v>
                </c:pt>
                <c:pt idx="20">
                  <c:v>4</c:v>
                </c:pt>
                <c:pt idx="21">
                  <c:v>4</c:v>
                </c:pt>
                <c:pt idx="22">
                  <c:v>4</c:v>
                </c:pt>
                <c:pt idx="23">
                  <c:v>0</c:v>
                </c:pt>
                <c:pt idx="24">
                  <c:v>4</c:v>
                </c:pt>
                <c:pt idx="25">
                  <c:v>0</c:v>
                </c:pt>
                <c:pt idx="26">
                  <c:v>4</c:v>
                </c:pt>
                <c:pt idx="27">
                  <c:v>0</c:v>
                </c:pt>
                <c:pt idx="28">
                  <c:v>4</c:v>
                </c:pt>
                <c:pt idx="29">
                  <c:v>0</c:v>
                </c:pt>
                <c:pt idx="30">
                  <c:v>4</c:v>
                </c:pt>
                <c:pt idx="31">
                  <c:v>0</c:v>
                </c:pt>
                <c:pt idx="32">
                  <c:v>4</c:v>
                </c:pt>
                <c:pt idx="33">
                  <c:v>0</c:v>
                </c:pt>
                <c:pt idx="34">
                  <c:v>4</c:v>
                </c:pt>
              </c:numCache>
            </c:numRef>
          </c:val>
          <c:smooth val="0"/>
          <c:extLst>
            <c:ext xmlns:c16="http://schemas.microsoft.com/office/drawing/2014/chart" uri="{C3380CC4-5D6E-409C-BE32-E72D297353CC}">
              <c16:uniqueId val="{00000009-61EF-4AF1-B0B4-8772345DB931}"/>
            </c:ext>
          </c:extLst>
        </c:ser>
        <c:ser>
          <c:idx val="1"/>
          <c:order val="1"/>
          <c:tx>
            <c:strRef>
              <c:f>{"Winter"}</c:f>
              <c:strCache>
                <c:ptCount val="1"/>
                <c:pt idx="0">
                  <c:v>Winter</c:v>
                </c:pt>
              </c:strCache>
            </c:strRef>
          </c:tx>
          <c:spPr>
            <a:ln w="28575" cap="rnd">
              <a:solidFill>
                <a:srgbClr val="ED7D31"/>
              </a:solidFill>
              <a:prstDash val="solid"/>
              <a:round/>
            </a:ln>
            <a:effectLst/>
          </c:spPr>
          <c:marker>
            <c:symbol val="none"/>
          </c:marker>
          <c:cat>
            <c:numRef>
              <c:f>'Question-2'!L13:L47</c:f>
              <c:numCache>
                <c:formatCode>General</c:formatCod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numCache>
            </c:numRef>
          </c:cat>
          <c:val>
            <c:numRef>
              <c:f>'Question-2'!N13:N47</c:f>
              <c:numCache>
                <c:formatCode>General</c:formatCode>
                <c:ptCount val="35"/>
                <c:pt idx="0">
                  <c:v>0</c:v>
                </c:pt>
                <c:pt idx="1">
                  <c:v>0</c:v>
                </c:pt>
                <c:pt idx="2">
                  <c:v>0</c:v>
                </c:pt>
                <c:pt idx="3">
                  <c:v>0</c:v>
                </c:pt>
                <c:pt idx="4">
                  <c:v>0</c:v>
                </c:pt>
                <c:pt idx="5">
                  <c:v>0</c:v>
                </c:pt>
                <c:pt idx="6">
                  <c:v>0</c:v>
                </c:pt>
                <c:pt idx="7">
                  <c:v>0</c:v>
                </c:pt>
                <c:pt idx="8">
                  <c:v>4</c:v>
                </c:pt>
                <c:pt idx="9">
                  <c:v>4</c:v>
                </c:pt>
                <c:pt idx="10">
                  <c:v>4</c:v>
                </c:pt>
                <c:pt idx="11">
                  <c:v>12</c:v>
                </c:pt>
                <c:pt idx="12">
                  <c:v>4</c:v>
                </c:pt>
                <c:pt idx="13">
                  <c:v>4</c:v>
                </c:pt>
                <c:pt idx="14">
                  <c:v>4</c:v>
                </c:pt>
                <c:pt idx="15">
                  <c:v>4</c:v>
                </c:pt>
                <c:pt idx="16">
                  <c:v>4</c:v>
                </c:pt>
                <c:pt idx="17">
                  <c:v>4</c:v>
                </c:pt>
                <c:pt idx="18">
                  <c:v>4</c:v>
                </c:pt>
                <c:pt idx="19">
                  <c:v>4</c:v>
                </c:pt>
                <c:pt idx="20">
                  <c:v>4</c:v>
                </c:pt>
                <c:pt idx="21">
                  <c:v>4</c:v>
                </c:pt>
                <c:pt idx="22">
                  <c:v>4</c:v>
                </c:pt>
                <c:pt idx="23">
                  <c:v>2</c:v>
                </c:pt>
                <c:pt idx="24">
                  <c:v>0</c:v>
                </c:pt>
                <c:pt idx="25">
                  <c:v>4</c:v>
                </c:pt>
                <c:pt idx="26">
                  <c:v>0</c:v>
                </c:pt>
                <c:pt idx="27">
                  <c:v>4</c:v>
                </c:pt>
                <c:pt idx="28">
                  <c:v>0</c:v>
                </c:pt>
                <c:pt idx="29">
                  <c:v>4</c:v>
                </c:pt>
                <c:pt idx="30">
                  <c:v>0</c:v>
                </c:pt>
                <c:pt idx="31">
                  <c:v>4</c:v>
                </c:pt>
                <c:pt idx="32">
                  <c:v>0</c:v>
                </c:pt>
                <c:pt idx="33">
                  <c:v>4</c:v>
                </c:pt>
                <c:pt idx="34">
                  <c:v>0</c:v>
                </c:pt>
              </c:numCache>
            </c:numRef>
          </c:val>
          <c:smooth val="0"/>
          <c:extLst>
            <c:ext xmlns:c16="http://schemas.microsoft.com/office/drawing/2014/chart" uri="{C3380CC4-5D6E-409C-BE32-E72D297353CC}">
              <c16:uniqueId val="{0000000B-61EF-4AF1-B0B4-8772345DB931}"/>
            </c:ext>
          </c:extLst>
        </c:ser>
        <c:dLbls>
          <c:showLegendKey val="0"/>
          <c:showVal val="0"/>
          <c:showCatName val="0"/>
          <c:showSerName val="0"/>
          <c:showPercent val="0"/>
          <c:showBubbleSize val="0"/>
        </c:dLbls>
        <c:smooth val="0"/>
        <c:axId val="1493907976"/>
        <c:axId val="1493941256"/>
      </c:lineChart>
      <c:catAx>
        <c:axId val="1493907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Olympic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941256"/>
        <c:crosses val="autoZero"/>
        <c:auto val="1"/>
        <c:lblAlgn val="ctr"/>
        <c:lblOffset val="100"/>
        <c:noMultiLvlLbl val="0"/>
      </c:catAx>
      <c:valAx>
        <c:axId val="1493941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Gap (Years)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907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Olympic Participation by Games Edition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'Question-3'!$M$3</c:f>
              <c:strCache>
                <c:ptCount val="1"/>
                <c:pt idx="0">
                  <c:v>total_participants</c:v>
                </c:pt>
              </c:strCache>
            </c:strRef>
          </c:tx>
          <c:spPr>
            <a:solidFill>
              <a:srgbClr val="548235"/>
            </a:solidFill>
            <a:ln>
              <a:noFill/>
            </a:ln>
            <a:effectLst/>
          </c:spPr>
          <c:invertIfNegative val="0"/>
          <c:cat>
            <c:strRef>
              <c:f>'Question-3'!$K$4:$K$54</c:f>
              <c:strCache>
                <c:ptCount val="51"/>
                <c:pt idx="0">
                  <c:v>1896 Summer</c:v>
                </c:pt>
                <c:pt idx="1">
                  <c:v>1900 Summer</c:v>
                </c:pt>
                <c:pt idx="2">
                  <c:v>1904 Summer</c:v>
                </c:pt>
                <c:pt idx="3">
                  <c:v>1906 Summer</c:v>
                </c:pt>
                <c:pt idx="4">
                  <c:v>1908 Summer</c:v>
                </c:pt>
                <c:pt idx="5">
                  <c:v>1912 Summer</c:v>
                </c:pt>
                <c:pt idx="6">
                  <c:v>1920 Summer</c:v>
                </c:pt>
                <c:pt idx="7">
                  <c:v>1924 Summer</c:v>
                </c:pt>
                <c:pt idx="8">
                  <c:v>1924 Winter</c:v>
                </c:pt>
                <c:pt idx="9">
                  <c:v>1928 Summer</c:v>
                </c:pt>
                <c:pt idx="10">
                  <c:v>1928 Winter</c:v>
                </c:pt>
                <c:pt idx="11">
                  <c:v>1932 Summer</c:v>
                </c:pt>
                <c:pt idx="12">
                  <c:v>1932 Winter</c:v>
                </c:pt>
                <c:pt idx="13">
                  <c:v>1936 Summer</c:v>
                </c:pt>
                <c:pt idx="14">
                  <c:v>1936 Winter</c:v>
                </c:pt>
                <c:pt idx="15">
                  <c:v>1948 Summer</c:v>
                </c:pt>
                <c:pt idx="16">
                  <c:v>1948 Winter</c:v>
                </c:pt>
                <c:pt idx="17">
                  <c:v>1952 Summer</c:v>
                </c:pt>
                <c:pt idx="18">
                  <c:v>1952 Winter</c:v>
                </c:pt>
                <c:pt idx="19">
                  <c:v>1956 Summer</c:v>
                </c:pt>
                <c:pt idx="20">
                  <c:v>1956 Winter</c:v>
                </c:pt>
                <c:pt idx="21">
                  <c:v>1960 Summer</c:v>
                </c:pt>
                <c:pt idx="22">
                  <c:v>1960 Winter</c:v>
                </c:pt>
                <c:pt idx="23">
                  <c:v>1964 Summer</c:v>
                </c:pt>
                <c:pt idx="24">
                  <c:v>1964 Winter</c:v>
                </c:pt>
                <c:pt idx="25">
                  <c:v>1968 Summer</c:v>
                </c:pt>
                <c:pt idx="26">
                  <c:v>1968 Winter</c:v>
                </c:pt>
                <c:pt idx="27">
                  <c:v>1972 Summer</c:v>
                </c:pt>
                <c:pt idx="28">
                  <c:v>1972 Winter</c:v>
                </c:pt>
                <c:pt idx="29">
                  <c:v>1976 Summer</c:v>
                </c:pt>
                <c:pt idx="30">
                  <c:v>1976 Winter</c:v>
                </c:pt>
                <c:pt idx="31">
                  <c:v>1980 Summer</c:v>
                </c:pt>
                <c:pt idx="32">
                  <c:v>1980 Winter</c:v>
                </c:pt>
                <c:pt idx="33">
                  <c:v>1984 Summer</c:v>
                </c:pt>
                <c:pt idx="34">
                  <c:v>1984 Winter</c:v>
                </c:pt>
                <c:pt idx="35">
                  <c:v>1988 Summer</c:v>
                </c:pt>
                <c:pt idx="36">
                  <c:v>1988 Winter</c:v>
                </c:pt>
                <c:pt idx="37">
                  <c:v>1992 Summer</c:v>
                </c:pt>
                <c:pt idx="38">
                  <c:v>1992 Winter</c:v>
                </c:pt>
                <c:pt idx="39">
                  <c:v>1994 Winter</c:v>
                </c:pt>
                <c:pt idx="40">
                  <c:v>1996 Summer</c:v>
                </c:pt>
                <c:pt idx="41">
                  <c:v>1998 Winter</c:v>
                </c:pt>
                <c:pt idx="42">
                  <c:v>2000 Summer</c:v>
                </c:pt>
                <c:pt idx="43">
                  <c:v>2002 Winter</c:v>
                </c:pt>
                <c:pt idx="44">
                  <c:v>2004 Summer</c:v>
                </c:pt>
                <c:pt idx="45">
                  <c:v>2006 Winter</c:v>
                </c:pt>
                <c:pt idx="46">
                  <c:v>2008 Summer</c:v>
                </c:pt>
                <c:pt idx="47">
                  <c:v>2010 Winter</c:v>
                </c:pt>
                <c:pt idx="48">
                  <c:v>2012 Summer</c:v>
                </c:pt>
                <c:pt idx="49">
                  <c:v>2014 Winter</c:v>
                </c:pt>
                <c:pt idx="50">
                  <c:v>2016 Summer</c:v>
                </c:pt>
              </c:strCache>
            </c:strRef>
          </c:cat>
          <c:val>
            <c:numRef>
              <c:f>'Question-3'!$M$4:$M$54</c:f>
              <c:numCache>
                <c:formatCode>General</c:formatCode>
                <c:ptCount val="51"/>
                <c:pt idx="0">
                  <c:v>72</c:v>
                </c:pt>
                <c:pt idx="1">
                  <c:v>636</c:v>
                </c:pt>
                <c:pt idx="2">
                  <c:v>496</c:v>
                </c:pt>
                <c:pt idx="3">
                  <c:v>391</c:v>
                </c:pt>
                <c:pt idx="4">
                  <c:v>1529</c:v>
                </c:pt>
                <c:pt idx="5">
                  <c:v>2310</c:v>
                </c:pt>
                <c:pt idx="6">
                  <c:v>2115</c:v>
                </c:pt>
                <c:pt idx="7">
                  <c:v>2547</c:v>
                </c:pt>
                <c:pt idx="8">
                  <c:v>265</c:v>
                </c:pt>
                <c:pt idx="9">
                  <c:v>2598</c:v>
                </c:pt>
                <c:pt idx="10">
                  <c:v>375</c:v>
                </c:pt>
                <c:pt idx="11">
                  <c:v>1666</c:v>
                </c:pt>
                <c:pt idx="12">
                  <c:v>228</c:v>
                </c:pt>
                <c:pt idx="13">
                  <c:v>4306</c:v>
                </c:pt>
                <c:pt idx="14">
                  <c:v>655</c:v>
                </c:pt>
                <c:pt idx="15">
                  <c:v>3501</c:v>
                </c:pt>
                <c:pt idx="16">
                  <c:v>657</c:v>
                </c:pt>
                <c:pt idx="17">
                  <c:v>4715</c:v>
                </c:pt>
                <c:pt idx="18">
                  <c:v>686</c:v>
                </c:pt>
                <c:pt idx="19">
                  <c:v>2858</c:v>
                </c:pt>
                <c:pt idx="20">
                  <c:v>803</c:v>
                </c:pt>
                <c:pt idx="21">
                  <c:v>5212</c:v>
                </c:pt>
                <c:pt idx="22">
                  <c:v>655</c:v>
                </c:pt>
                <c:pt idx="23">
                  <c:v>5066</c:v>
                </c:pt>
                <c:pt idx="24">
                  <c:v>1085</c:v>
                </c:pt>
                <c:pt idx="25">
                  <c:v>5446</c:v>
                </c:pt>
                <c:pt idx="26">
                  <c:v>1143</c:v>
                </c:pt>
                <c:pt idx="27">
                  <c:v>7009</c:v>
                </c:pt>
                <c:pt idx="28">
                  <c:v>994</c:v>
                </c:pt>
                <c:pt idx="29">
                  <c:v>6026</c:v>
                </c:pt>
                <c:pt idx="30">
                  <c:v>1121</c:v>
                </c:pt>
                <c:pt idx="31">
                  <c:v>5091</c:v>
                </c:pt>
                <c:pt idx="32">
                  <c:v>1067</c:v>
                </c:pt>
                <c:pt idx="33">
                  <c:v>6612</c:v>
                </c:pt>
                <c:pt idx="34">
                  <c:v>1264</c:v>
                </c:pt>
                <c:pt idx="35">
                  <c:v>8341</c:v>
                </c:pt>
                <c:pt idx="36">
                  <c:v>1418</c:v>
                </c:pt>
                <c:pt idx="37">
                  <c:v>9327</c:v>
                </c:pt>
                <c:pt idx="38">
                  <c:v>1798</c:v>
                </c:pt>
                <c:pt idx="39">
                  <c:v>1733</c:v>
                </c:pt>
                <c:pt idx="40">
                  <c:v>10319</c:v>
                </c:pt>
                <c:pt idx="41">
                  <c:v>2175</c:v>
                </c:pt>
                <c:pt idx="42">
                  <c:v>10641</c:v>
                </c:pt>
                <c:pt idx="43">
                  <c:v>2395</c:v>
                </c:pt>
                <c:pt idx="44">
                  <c:v>10554</c:v>
                </c:pt>
                <c:pt idx="45">
                  <c:v>2493</c:v>
                </c:pt>
                <c:pt idx="46">
                  <c:v>10895</c:v>
                </c:pt>
                <c:pt idx="47">
                  <c:v>2532</c:v>
                </c:pt>
                <c:pt idx="48">
                  <c:v>10512</c:v>
                </c:pt>
                <c:pt idx="49">
                  <c:v>2743</c:v>
                </c:pt>
                <c:pt idx="50">
                  <c:v>11176</c:v>
                </c:pt>
              </c:numCache>
            </c:numRef>
          </c:val>
          <c:extLst>
            <c:ext xmlns:c16="http://schemas.microsoft.com/office/drawing/2014/chart" uri="{C3380CC4-5D6E-409C-BE32-E72D297353CC}">
              <c16:uniqueId val="{00000005-C476-4147-A446-4375931FCDE9}"/>
            </c:ext>
          </c:extLst>
        </c:ser>
        <c:dLbls>
          <c:showLegendKey val="0"/>
          <c:showVal val="0"/>
          <c:showCatName val="0"/>
          <c:showSerName val="0"/>
          <c:showPercent val="0"/>
          <c:showBubbleSize val="0"/>
        </c:dLbls>
        <c:gapWidth val="219"/>
        <c:overlap val="-27"/>
        <c:axId val="2012241927"/>
        <c:axId val="2012243975"/>
      </c:barChart>
      <c:catAx>
        <c:axId val="2012241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Olympic Games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243975"/>
        <c:crosses val="autoZero"/>
        <c:auto val="1"/>
        <c:lblAlgn val="ctr"/>
        <c:lblOffset val="100"/>
        <c:noMultiLvlLbl val="0"/>
      </c:catAx>
      <c:valAx>
        <c:axId val="2012243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Participants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241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15 Recently Introduced Olympic Sports</a:t>
            </a:r>
          </a:p>
        </c:rich>
      </c:tx>
      <c:layout>
        <c:manualLayout>
          <c:xMode val="edge"/>
          <c:yMode val="edge"/>
          <c:x val="0.22225965940303974"/>
          <c:y val="1.31704370637246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'Question-4'!$I$3</c:f>
              <c:strCache>
                <c:ptCount val="1"/>
                <c:pt idx="0">
                  <c:v>first_year</c:v>
                </c:pt>
              </c:strCache>
            </c:strRef>
          </c:tx>
          <c:spPr>
            <a:solidFill>
              <a:srgbClr val="7030A0"/>
            </a:solidFill>
            <a:ln>
              <a:noFill/>
            </a:ln>
            <a:effectLst/>
          </c:spPr>
          <c:invertIfNegative val="0"/>
          <c:cat>
            <c:strRef>
              <c:f>'Question-4'!$H$4:$H$18</c:f>
              <c:strCache>
                <c:ptCount val="15"/>
                <c:pt idx="0">
                  <c:v>Rugby Sevens</c:v>
                </c:pt>
                <c:pt idx="1">
                  <c:v>Triathlon</c:v>
                </c:pt>
                <c:pt idx="2">
                  <c:v>Trampolining</c:v>
                </c:pt>
                <c:pt idx="3">
                  <c:v>Taekwondo</c:v>
                </c:pt>
                <c:pt idx="4">
                  <c:v>Snowboarding</c:v>
                </c:pt>
                <c:pt idx="5">
                  <c:v>Beach Volleyball</c:v>
                </c:pt>
                <c:pt idx="6">
                  <c:v>Softball</c:v>
                </c:pt>
                <c:pt idx="7">
                  <c:v>Baseball</c:v>
                </c:pt>
                <c:pt idx="8">
                  <c:v>Freestyle Skiing</c:v>
                </c:pt>
                <c:pt idx="9">
                  <c:v>Short Track Speed Skating</c:v>
                </c:pt>
                <c:pt idx="10">
                  <c:v>Badminton</c:v>
                </c:pt>
                <c:pt idx="11">
                  <c:v>Table Tennis</c:v>
                </c:pt>
                <c:pt idx="12">
                  <c:v>Rhythmic Gymnastics</c:v>
                </c:pt>
                <c:pt idx="13">
                  <c:v>Synchronized Swimming</c:v>
                </c:pt>
                <c:pt idx="14">
                  <c:v>Judo</c:v>
                </c:pt>
              </c:strCache>
            </c:strRef>
          </c:cat>
          <c:val>
            <c:numRef>
              <c:f>'Question-4'!$I$4:$I$18</c:f>
              <c:numCache>
                <c:formatCode>General</c:formatCode>
                <c:ptCount val="15"/>
                <c:pt idx="0">
                  <c:v>2016</c:v>
                </c:pt>
                <c:pt idx="1">
                  <c:v>2000</c:v>
                </c:pt>
                <c:pt idx="2">
                  <c:v>2000</c:v>
                </c:pt>
                <c:pt idx="3">
                  <c:v>2000</c:v>
                </c:pt>
                <c:pt idx="4">
                  <c:v>1998</c:v>
                </c:pt>
                <c:pt idx="5">
                  <c:v>1996</c:v>
                </c:pt>
                <c:pt idx="6">
                  <c:v>1996</c:v>
                </c:pt>
                <c:pt idx="7">
                  <c:v>1992</c:v>
                </c:pt>
                <c:pt idx="8">
                  <c:v>1992</c:v>
                </c:pt>
                <c:pt idx="9">
                  <c:v>1992</c:v>
                </c:pt>
                <c:pt idx="10">
                  <c:v>1992</c:v>
                </c:pt>
                <c:pt idx="11">
                  <c:v>1988</c:v>
                </c:pt>
                <c:pt idx="12">
                  <c:v>1984</c:v>
                </c:pt>
                <c:pt idx="13">
                  <c:v>1984</c:v>
                </c:pt>
                <c:pt idx="14">
                  <c:v>1964</c:v>
                </c:pt>
              </c:numCache>
            </c:numRef>
          </c:val>
          <c:extLst>
            <c:ext xmlns:c16="http://schemas.microsoft.com/office/drawing/2014/chart" uri="{C3380CC4-5D6E-409C-BE32-E72D297353CC}">
              <c16:uniqueId val="{00000000-9A0F-4D0D-A9C1-52BA91B8E2CA}"/>
            </c:ext>
          </c:extLst>
        </c:ser>
        <c:dLbls>
          <c:showLegendKey val="0"/>
          <c:showVal val="0"/>
          <c:showCatName val="0"/>
          <c:showSerName val="0"/>
          <c:showPercent val="0"/>
          <c:showBubbleSize val="0"/>
        </c:dLbls>
        <c:gapWidth val="182"/>
        <c:axId val="2001527815"/>
        <c:axId val="2004291591"/>
      </c:barChart>
      <c:catAx>
        <c:axId val="20015278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Sport name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291591"/>
        <c:crosses val="autoZero"/>
        <c:auto val="1"/>
        <c:lblAlgn val="ctr"/>
        <c:lblOffset val="100"/>
        <c:noMultiLvlLbl val="0"/>
      </c:catAx>
      <c:valAx>
        <c:axId val="20042915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First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527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[SPORTS_ANALYTICS_EDA.xlsx]Question-5!PivotTable3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Participant Trends by Sport Over Time</a:t>
            </a:r>
          </a:p>
        </c:rich>
      </c:tx>
      <c:layout>
        <c:manualLayout>
          <c:xMode val="edge"/>
          <c:yMode val="edge"/>
          <c:x val="0.26814196538223051"/>
          <c:y val="2.4810079555167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'Question-5'!$M$15:$M$16</c:f>
              <c:strCache>
                <c:ptCount val="1"/>
                <c:pt idx="0">
                  <c:v>Athletics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'Question-5'!$L$17:$L$46</c:f>
              <c:strCache>
                <c:ptCount val="29"/>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1996</c:v>
                </c:pt>
                <c:pt idx="24">
                  <c:v>2000</c:v>
                </c:pt>
                <c:pt idx="25">
                  <c:v>2004</c:v>
                </c:pt>
                <c:pt idx="26">
                  <c:v>2008</c:v>
                </c:pt>
                <c:pt idx="27">
                  <c:v>2012</c:v>
                </c:pt>
                <c:pt idx="28">
                  <c:v>2016</c:v>
                </c:pt>
              </c:strCache>
            </c:strRef>
          </c:cat>
          <c:val>
            <c:numRef>
              <c:f>'Question-5'!$M$17:$M$46</c:f>
              <c:numCache>
                <c:formatCode>General</c:formatCode>
                <c:ptCount val="29"/>
                <c:pt idx="0">
                  <c:v>34</c:v>
                </c:pt>
                <c:pt idx="1">
                  <c:v>102</c:v>
                </c:pt>
                <c:pt idx="2">
                  <c:v>94</c:v>
                </c:pt>
                <c:pt idx="3">
                  <c:v>131</c:v>
                </c:pt>
                <c:pt idx="4">
                  <c:v>374</c:v>
                </c:pt>
                <c:pt idx="5">
                  <c:v>523</c:v>
                </c:pt>
                <c:pt idx="6">
                  <c:v>436</c:v>
                </c:pt>
                <c:pt idx="7">
                  <c:v>575</c:v>
                </c:pt>
                <c:pt idx="8">
                  <c:v>624</c:v>
                </c:pt>
                <c:pt idx="9">
                  <c:v>349</c:v>
                </c:pt>
                <c:pt idx="10">
                  <c:v>762</c:v>
                </c:pt>
                <c:pt idx="11">
                  <c:v>681</c:v>
                </c:pt>
                <c:pt idx="12">
                  <c:v>942</c:v>
                </c:pt>
                <c:pt idx="13">
                  <c:v>668</c:v>
                </c:pt>
                <c:pt idx="14">
                  <c:v>989</c:v>
                </c:pt>
                <c:pt idx="15">
                  <c:v>999</c:v>
                </c:pt>
                <c:pt idx="16">
                  <c:v>1005</c:v>
                </c:pt>
                <c:pt idx="17">
                  <c:v>1305</c:v>
                </c:pt>
                <c:pt idx="18">
                  <c:v>996</c:v>
                </c:pt>
                <c:pt idx="19">
                  <c:v>924</c:v>
                </c:pt>
                <c:pt idx="20">
                  <c:v>1240</c:v>
                </c:pt>
                <c:pt idx="21">
                  <c:v>1587</c:v>
                </c:pt>
                <c:pt idx="22">
                  <c:v>1704</c:v>
                </c:pt>
                <c:pt idx="23">
                  <c:v>2042</c:v>
                </c:pt>
                <c:pt idx="24">
                  <c:v>2135</c:v>
                </c:pt>
                <c:pt idx="25">
                  <c:v>1993</c:v>
                </c:pt>
                <c:pt idx="26">
                  <c:v>2053</c:v>
                </c:pt>
                <c:pt idx="27">
                  <c:v>2075</c:v>
                </c:pt>
                <c:pt idx="28">
                  <c:v>2265</c:v>
                </c:pt>
              </c:numCache>
            </c:numRef>
          </c:val>
          <c:smooth val="0"/>
          <c:extLst>
            <c:ext xmlns:c16="http://schemas.microsoft.com/office/drawing/2014/chart" uri="{C3380CC4-5D6E-409C-BE32-E72D297353CC}">
              <c16:uniqueId val="{00000000-E541-4635-AD09-BB1EBE6C9AF8}"/>
            </c:ext>
          </c:extLst>
        </c:ser>
        <c:ser>
          <c:idx val="1"/>
          <c:order val="1"/>
          <c:tx>
            <c:strRef>
              <c:f>'Question-5'!$N$15:$N$16</c:f>
              <c:strCache>
                <c:ptCount val="1"/>
                <c:pt idx="0">
                  <c:v>Rowing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'Question-5'!$L$17:$L$46</c:f>
              <c:strCache>
                <c:ptCount val="29"/>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1996</c:v>
                </c:pt>
                <c:pt idx="24">
                  <c:v>2000</c:v>
                </c:pt>
                <c:pt idx="25">
                  <c:v>2004</c:v>
                </c:pt>
                <c:pt idx="26">
                  <c:v>2008</c:v>
                </c:pt>
                <c:pt idx="27">
                  <c:v>2012</c:v>
                </c:pt>
                <c:pt idx="28">
                  <c:v>2016</c:v>
                </c:pt>
              </c:strCache>
            </c:strRef>
          </c:cat>
          <c:val>
            <c:numRef>
              <c:f>'Question-5'!$N$17:$N$46</c:f>
              <c:numCache>
                <c:formatCode>General</c:formatCode>
                <c:ptCount val="29"/>
                <c:pt idx="1">
                  <c:v>70</c:v>
                </c:pt>
                <c:pt idx="2">
                  <c:v>37</c:v>
                </c:pt>
                <c:pt idx="3">
                  <c:v>25</c:v>
                </c:pt>
                <c:pt idx="4">
                  <c:v>68</c:v>
                </c:pt>
                <c:pt idx="5">
                  <c:v>183</c:v>
                </c:pt>
                <c:pt idx="6">
                  <c:v>94</c:v>
                </c:pt>
                <c:pt idx="7">
                  <c:v>132</c:v>
                </c:pt>
                <c:pt idx="8">
                  <c:v>173</c:v>
                </c:pt>
                <c:pt idx="9">
                  <c:v>130</c:v>
                </c:pt>
                <c:pt idx="10">
                  <c:v>308</c:v>
                </c:pt>
                <c:pt idx="11">
                  <c:v>239</c:v>
                </c:pt>
                <c:pt idx="12">
                  <c:v>383</c:v>
                </c:pt>
                <c:pt idx="13">
                  <c:v>195</c:v>
                </c:pt>
                <c:pt idx="14">
                  <c:v>400</c:v>
                </c:pt>
                <c:pt idx="15">
                  <c:v>366</c:v>
                </c:pt>
                <c:pt idx="16">
                  <c:v>352</c:v>
                </c:pt>
                <c:pt idx="17">
                  <c:v>437</c:v>
                </c:pt>
                <c:pt idx="18">
                  <c:v>591</c:v>
                </c:pt>
                <c:pt idx="19">
                  <c:v>470</c:v>
                </c:pt>
                <c:pt idx="20">
                  <c:v>446</c:v>
                </c:pt>
                <c:pt idx="21">
                  <c:v>591</c:v>
                </c:pt>
                <c:pt idx="22">
                  <c:v>621</c:v>
                </c:pt>
                <c:pt idx="23">
                  <c:v>608</c:v>
                </c:pt>
                <c:pt idx="24">
                  <c:v>547</c:v>
                </c:pt>
                <c:pt idx="25">
                  <c:v>557</c:v>
                </c:pt>
                <c:pt idx="26">
                  <c:v>555</c:v>
                </c:pt>
                <c:pt idx="27">
                  <c:v>549</c:v>
                </c:pt>
                <c:pt idx="28">
                  <c:v>546</c:v>
                </c:pt>
              </c:numCache>
            </c:numRef>
          </c:val>
          <c:smooth val="0"/>
          <c:extLst>
            <c:ext xmlns:c16="http://schemas.microsoft.com/office/drawing/2014/chart" uri="{C3380CC4-5D6E-409C-BE32-E72D297353CC}">
              <c16:uniqueId val="{00000002-E541-4635-AD09-BB1EBE6C9AF8}"/>
            </c:ext>
          </c:extLst>
        </c:ser>
        <c:ser>
          <c:idx val="2"/>
          <c:order val="2"/>
          <c:tx>
            <c:strRef>
              <c:f>'Question-5'!$O$15:$O$16</c:f>
              <c:strCache>
                <c:ptCount val="1"/>
                <c:pt idx="0">
                  <c:v>Shooting</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'Question-5'!$L$17:$L$46</c:f>
              <c:strCache>
                <c:ptCount val="29"/>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1996</c:v>
                </c:pt>
                <c:pt idx="24">
                  <c:v>2000</c:v>
                </c:pt>
                <c:pt idx="25">
                  <c:v>2004</c:v>
                </c:pt>
                <c:pt idx="26">
                  <c:v>2008</c:v>
                </c:pt>
                <c:pt idx="27">
                  <c:v>2012</c:v>
                </c:pt>
                <c:pt idx="28">
                  <c:v>2016</c:v>
                </c:pt>
              </c:strCache>
            </c:strRef>
          </c:cat>
          <c:val>
            <c:numRef>
              <c:f>'Question-5'!$O$17:$O$46</c:f>
              <c:numCache>
                <c:formatCode>General</c:formatCode>
                <c:ptCount val="29"/>
                <c:pt idx="0">
                  <c:v>10</c:v>
                </c:pt>
                <c:pt idx="1">
                  <c:v>46</c:v>
                </c:pt>
                <c:pt idx="3">
                  <c:v>30</c:v>
                </c:pt>
                <c:pt idx="4">
                  <c:v>163</c:v>
                </c:pt>
                <c:pt idx="5">
                  <c:v>281</c:v>
                </c:pt>
                <c:pt idx="6">
                  <c:v>180</c:v>
                </c:pt>
                <c:pt idx="7">
                  <c:v>180</c:v>
                </c:pt>
                <c:pt idx="9">
                  <c:v>30</c:v>
                </c:pt>
                <c:pt idx="10">
                  <c:v>133</c:v>
                </c:pt>
                <c:pt idx="11">
                  <c:v>147</c:v>
                </c:pt>
                <c:pt idx="12">
                  <c:v>201</c:v>
                </c:pt>
                <c:pt idx="13">
                  <c:v>125</c:v>
                </c:pt>
                <c:pt idx="14">
                  <c:v>302</c:v>
                </c:pt>
                <c:pt idx="15">
                  <c:v>259</c:v>
                </c:pt>
                <c:pt idx="16">
                  <c:v>345</c:v>
                </c:pt>
                <c:pt idx="17">
                  <c:v>396</c:v>
                </c:pt>
                <c:pt idx="18">
                  <c:v>343</c:v>
                </c:pt>
                <c:pt idx="19">
                  <c:v>237</c:v>
                </c:pt>
                <c:pt idx="20">
                  <c:v>439</c:v>
                </c:pt>
                <c:pt idx="21">
                  <c:v>392</c:v>
                </c:pt>
                <c:pt idx="22">
                  <c:v>405</c:v>
                </c:pt>
                <c:pt idx="23">
                  <c:v>419</c:v>
                </c:pt>
                <c:pt idx="24">
                  <c:v>408</c:v>
                </c:pt>
                <c:pt idx="25">
                  <c:v>390</c:v>
                </c:pt>
                <c:pt idx="26">
                  <c:v>390</c:v>
                </c:pt>
                <c:pt idx="27">
                  <c:v>390</c:v>
                </c:pt>
                <c:pt idx="28">
                  <c:v>390</c:v>
                </c:pt>
              </c:numCache>
            </c:numRef>
          </c:val>
          <c:smooth val="0"/>
          <c:extLst>
            <c:ext xmlns:c16="http://schemas.microsoft.com/office/drawing/2014/chart" uri="{C3380CC4-5D6E-409C-BE32-E72D297353CC}">
              <c16:uniqueId val="{00000004-E541-4635-AD09-BB1EBE6C9AF8}"/>
            </c:ext>
          </c:extLst>
        </c:ser>
        <c:ser>
          <c:idx val="3"/>
          <c:order val="3"/>
          <c:tx>
            <c:strRef>
              <c:f>'Question-5'!$P$15:$P$16</c:f>
              <c:strCache>
                <c:ptCount val="1"/>
                <c:pt idx="0">
                  <c:v>Swimming</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'Question-5'!$L$17:$L$46</c:f>
              <c:strCache>
                <c:ptCount val="29"/>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1996</c:v>
                </c:pt>
                <c:pt idx="24">
                  <c:v>2000</c:v>
                </c:pt>
                <c:pt idx="25">
                  <c:v>2004</c:v>
                </c:pt>
                <c:pt idx="26">
                  <c:v>2008</c:v>
                </c:pt>
                <c:pt idx="27">
                  <c:v>2012</c:v>
                </c:pt>
                <c:pt idx="28">
                  <c:v>2016</c:v>
                </c:pt>
              </c:strCache>
            </c:strRef>
          </c:cat>
          <c:val>
            <c:numRef>
              <c:f>'Question-5'!$P$17:$P$46</c:f>
              <c:numCache>
                <c:formatCode>General</c:formatCode>
                <c:ptCount val="29"/>
                <c:pt idx="0">
                  <c:v>4</c:v>
                </c:pt>
                <c:pt idx="1">
                  <c:v>33</c:v>
                </c:pt>
                <c:pt idx="2">
                  <c:v>28</c:v>
                </c:pt>
                <c:pt idx="3">
                  <c:v>30</c:v>
                </c:pt>
                <c:pt idx="4">
                  <c:v>80</c:v>
                </c:pt>
                <c:pt idx="5">
                  <c:v>118</c:v>
                </c:pt>
                <c:pt idx="6">
                  <c:v>86</c:v>
                </c:pt>
                <c:pt idx="7">
                  <c:v>138</c:v>
                </c:pt>
                <c:pt idx="8">
                  <c:v>146</c:v>
                </c:pt>
                <c:pt idx="9">
                  <c:v>107</c:v>
                </c:pt>
                <c:pt idx="10">
                  <c:v>231</c:v>
                </c:pt>
                <c:pt idx="11">
                  <c:v>201</c:v>
                </c:pt>
                <c:pt idx="12">
                  <c:v>302</c:v>
                </c:pt>
                <c:pt idx="13">
                  <c:v>193</c:v>
                </c:pt>
                <c:pt idx="14">
                  <c:v>376</c:v>
                </c:pt>
                <c:pt idx="15">
                  <c:v>401</c:v>
                </c:pt>
                <c:pt idx="16">
                  <c:v>465</c:v>
                </c:pt>
                <c:pt idx="17">
                  <c:v>524</c:v>
                </c:pt>
                <c:pt idx="18">
                  <c:v>465</c:v>
                </c:pt>
                <c:pt idx="19">
                  <c:v>323</c:v>
                </c:pt>
                <c:pt idx="20">
                  <c:v>479</c:v>
                </c:pt>
                <c:pt idx="21">
                  <c:v>629</c:v>
                </c:pt>
                <c:pt idx="22">
                  <c:v>638</c:v>
                </c:pt>
                <c:pt idx="23">
                  <c:v>759</c:v>
                </c:pt>
                <c:pt idx="24">
                  <c:v>954</c:v>
                </c:pt>
                <c:pt idx="25">
                  <c:v>937</c:v>
                </c:pt>
                <c:pt idx="26">
                  <c:v>1022</c:v>
                </c:pt>
                <c:pt idx="27">
                  <c:v>931</c:v>
                </c:pt>
                <c:pt idx="28">
                  <c:v>941</c:v>
                </c:pt>
              </c:numCache>
            </c:numRef>
          </c:val>
          <c:smooth val="0"/>
          <c:extLst>
            <c:ext xmlns:c16="http://schemas.microsoft.com/office/drawing/2014/chart" uri="{C3380CC4-5D6E-409C-BE32-E72D297353CC}">
              <c16:uniqueId val="{00000006-E541-4635-AD09-BB1EBE6C9AF8}"/>
            </c:ext>
          </c:extLst>
        </c:ser>
        <c:ser>
          <c:idx val="4"/>
          <c:order val="4"/>
          <c:tx>
            <c:strRef>
              <c:f>'Question-5'!$Q$15:$Q$16</c:f>
              <c:strCache>
                <c:ptCount val="1"/>
                <c:pt idx="0">
                  <c:v>Wrestling</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'Question-5'!$L$17:$L$46</c:f>
              <c:strCache>
                <c:ptCount val="29"/>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1996</c:v>
                </c:pt>
                <c:pt idx="24">
                  <c:v>2000</c:v>
                </c:pt>
                <c:pt idx="25">
                  <c:v>2004</c:v>
                </c:pt>
                <c:pt idx="26">
                  <c:v>2008</c:v>
                </c:pt>
                <c:pt idx="27">
                  <c:v>2012</c:v>
                </c:pt>
                <c:pt idx="28">
                  <c:v>2016</c:v>
                </c:pt>
              </c:strCache>
            </c:strRef>
          </c:cat>
          <c:val>
            <c:numRef>
              <c:f>'Question-5'!$Q$17:$Q$46</c:f>
              <c:numCache>
                <c:formatCode>General</c:formatCode>
                <c:ptCount val="29"/>
                <c:pt idx="0">
                  <c:v>3</c:v>
                </c:pt>
                <c:pt idx="2">
                  <c:v>31</c:v>
                </c:pt>
                <c:pt idx="3">
                  <c:v>16</c:v>
                </c:pt>
                <c:pt idx="4">
                  <c:v>65</c:v>
                </c:pt>
                <c:pt idx="5">
                  <c:v>165</c:v>
                </c:pt>
                <c:pt idx="6">
                  <c:v>105</c:v>
                </c:pt>
                <c:pt idx="7">
                  <c:v>155</c:v>
                </c:pt>
                <c:pt idx="8">
                  <c:v>116</c:v>
                </c:pt>
                <c:pt idx="9">
                  <c:v>67</c:v>
                </c:pt>
                <c:pt idx="10">
                  <c:v>195</c:v>
                </c:pt>
                <c:pt idx="11">
                  <c:v>147</c:v>
                </c:pt>
                <c:pt idx="12">
                  <c:v>224</c:v>
                </c:pt>
                <c:pt idx="13">
                  <c:v>145</c:v>
                </c:pt>
                <c:pt idx="14">
                  <c:v>312</c:v>
                </c:pt>
                <c:pt idx="15">
                  <c:v>272</c:v>
                </c:pt>
                <c:pt idx="16">
                  <c:v>281</c:v>
                </c:pt>
                <c:pt idx="17">
                  <c:v>381</c:v>
                </c:pt>
                <c:pt idx="18">
                  <c:v>324</c:v>
                </c:pt>
                <c:pt idx="19">
                  <c:v>255</c:v>
                </c:pt>
                <c:pt idx="20">
                  <c:v>258</c:v>
                </c:pt>
                <c:pt idx="21">
                  <c:v>411</c:v>
                </c:pt>
                <c:pt idx="22">
                  <c:v>370</c:v>
                </c:pt>
                <c:pt idx="23">
                  <c:v>400</c:v>
                </c:pt>
                <c:pt idx="24">
                  <c:v>314</c:v>
                </c:pt>
                <c:pt idx="25">
                  <c:v>342</c:v>
                </c:pt>
                <c:pt idx="26">
                  <c:v>343</c:v>
                </c:pt>
                <c:pt idx="27">
                  <c:v>339</c:v>
                </c:pt>
                <c:pt idx="28">
                  <c:v>346</c:v>
                </c:pt>
              </c:numCache>
            </c:numRef>
          </c:val>
          <c:smooth val="0"/>
          <c:extLst>
            <c:ext xmlns:c16="http://schemas.microsoft.com/office/drawing/2014/chart" uri="{C3380CC4-5D6E-409C-BE32-E72D297353CC}">
              <c16:uniqueId val="{00000008-E541-4635-AD09-BB1EBE6C9AF8}"/>
            </c:ext>
          </c:extLst>
        </c:ser>
        <c:dLbls>
          <c:showLegendKey val="0"/>
          <c:showVal val="0"/>
          <c:showCatName val="0"/>
          <c:showSerName val="0"/>
          <c:showPercent val="0"/>
          <c:showBubbleSize val="0"/>
        </c:dLbls>
        <c:marker val="1"/>
        <c:smooth val="0"/>
        <c:axId val="2111095815"/>
        <c:axId val="2132893703"/>
      </c:lineChart>
      <c:catAx>
        <c:axId val="2111095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Olympic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893703"/>
        <c:crosses val="autoZero"/>
        <c:auto val="1"/>
        <c:lblAlgn val="ctr"/>
        <c:lblOffset val="100"/>
        <c:noMultiLvlLbl val="0"/>
      </c:catAx>
      <c:valAx>
        <c:axId val="2132893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Participants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095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Sports Specific to a Single Region</a:t>
            </a:r>
          </a:p>
        </c:rich>
      </c:tx>
      <c:layout>
        <c:manualLayout>
          <c:xMode val="edge"/>
          <c:yMode val="edge"/>
          <c:x val="0.25666762468290116"/>
          <c:y val="3.76525660803800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'Question-6'!$L$3</c:f>
              <c:strCache>
                <c:ptCount val="1"/>
                <c:pt idx="0">
                  <c:v>total_participants</c:v>
                </c:pt>
              </c:strCache>
            </c:strRef>
          </c:tx>
          <c:spPr>
            <a:solidFill>
              <a:srgbClr val="C00000"/>
            </a:solidFill>
            <a:ln>
              <a:noFill/>
            </a:ln>
            <a:effectLst/>
          </c:spPr>
          <c:invertIfNegative val="0"/>
          <c:cat>
            <c:strRef>
              <c:f>'Question-6'!$I$4:$I$8</c:f>
              <c:strCache>
                <c:ptCount val="5"/>
                <c:pt idx="0">
                  <c:v>Croquet</c:v>
                </c:pt>
                <c:pt idx="1">
                  <c:v>Racquets</c:v>
                </c:pt>
                <c:pt idx="2">
                  <c:v>Roque</c:v>
                </c:pt>
                <c:pt idx="3">
                  <c:v>Basque Pelota</c:v>
                </c:pt>
                <c:pt idx="4">
                  <c:v>Aeronautics</c:v>
                </c:pt>
              </c:strCache>
            </c:strRef>
          </c:cat>
          <c:val>
            <c:numRef>
              <c:f>'Question-6'!$L$4:$L$8</c:f>
              <c:numCache>
                <c:formatCode>General</c:formatCode>
                <c:ptCount val="5"/>
                <c:pt idx="0">
                  <c:v>8</c:v>
                </c:pt>
                <c:pt idx="1">
                  <c:v>7</c:v>
                </c:pt>
                <c:pt idx="2">
                  <c:v>3</c:v>
                </c:pt>
                <c:pt idx="3">
                  <c:v>2</c:v>
                </c:pt>
                <c:pt idx="4">
                  <c:v>1</c:v>
                </c:pt>
              </c:numCache>
            </c:numRef>
          </c:val>
          <c:extLst>
            <c:ext xmlns:c16="http://schemas.microsoft.com/office/drawing/2014/chart" uri="{C3380CC4-5D6E-409C-BE32-E72D297353CC}">
              <c16:uniqueId val="{00000000-0855-49C2-B21C-C879BA5DB55B}"/>
            </c:ext>
          </c:extLst>
        </c:ser>
        <c:dLbls>
          <c:showLegendKey val="0"/>
          <c:showVal val="0"/>
          <c:showCatName val="0"/>
          <c:showSerName val="0"/>
          <c:showPercent val="0"/>
          <c:showBubbleSize val="0"/>
        </c:dLbls>
        <c:gapWidth val="182"/>
        <c:axId val="1341437960"/>
        <c:axId val="1341444104"/>
      </c:barChart>
      <c:catAx>
        <c:axId val="1341437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Sport Name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444104"/>
        <c:crosses val="autoZero"/>
        <c:auto val="1"/>
        <c:lblAlgn val="ctr"/>
        <c:lblOffset val="100"/>
        <c:noMultiLvlLbl val="0"/>
      </c:catAx>
      <c:valAx>
        <c:axId val="13414441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Participants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437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15 Sports – Gender-wise Distribution of Events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'Question-7'!$I$3</c:f>
              <c:strCache>
                <c:ptCount val="1"/>
                <c:pt idx="0">
                  <c:v>mens_events</c:v>
                </c:pt>
              </c:strCache>
            </c:strRef>
          </c:tx>
          <c:spPr>
            <a:solidFill>
              <a:schemeClr val="accent1"/>
            </a:solidFill>
            <a:ln>
              <a:noFill/>
            </a:ln>
            <a:effectLst/>
          </c:spPr>
          <c:invertIfNegative val="0"/>
          <c:cat>
            <c:strRef>
              <c:f>'Question-7'!$H$4:$H$18</c:f>
              <c:strCache>
                <c:ptCount val="15"/>
                <c:pt idx="0">
                  <c:v>Athletics</c:v>
                </c:pt>
                <c:pt idx="1">
                  <c:v>Shooting</c:v>
                </c:pt>
                <c:pt idx="2">
                  <c:v>Swimming</c:v>
                </c:pt>
                <c:pt idx="3">
                  <c:v>Cycling</c:v>
                </c:pt>
                <c:pt idx="4">
                  <c:v>Sailing</c:v>
                </c:pt>
                <c:pt idx="5">
                  <c:v>Wrestling</c:v>
                </c:pt>
                <c:pt idx="6">
                  <c:v>Cross Country Skiing</c:v>
                </c:pt>
                <c:pt idx="7">
                  <c:v>Gymnastics</c:v>
                </c:pt>
                <c:pt idx="8">
                  <c:v>Canoeing</c:v>
                </c:pt>
                <c:pt idx="9">
                  <c:v>Rowing</c:v>
                </c:pt>
                <c:pt idx="10">
                  <c:v>Archery</c:v>
                </c:pt>
                <c:pt idx="11">
                  <c:v>Art Competitions</c:v>
                </c:pt>
                <c:pt idx="12">
                  <c:v>Weightlifting</c:v>
                </c:pt>
                <c:pt idx="13">
                  <c:v>Fencing</c:v>
                </c:pt>
                <c:pt idx="14">
                  <c:v>Judo</c:v>
                </c:pt>
              </c:strCache>
            </c:strRef>
          </c:cat>
          <c:val>
            <c:numRef>
              <c:f>'Question-7'!$I$4:$I$18</c:f>
              <c:numCache>
                <c:formatCode>General</c:formatCode>
                <c:ptCount val="15"/>
                <c:pt idx="0">
                  <c:v>83</c:v>
                </c:pt>
                <c:pt idx="1">
                  <c:v>75</c:v>
                </c:pt>
                <c:pt idx="2">
                  <c:v>54</c:v>
                </c:pt>
                <c:pt idx="3">
                  <c:v>44</c:v>
                </c:pt>
                <c:pt idx="4">
                  <c:v>11</c:v>
                </c:pt>
                <c:pt idx="5">
                  <c:v>30</c:v>
                </c:pt>
                <c:pt idx="6">
                  <c:v>23</c:v>
                </c:pt>
                <c:pt idx="7">
                  <c:v>27</c:v>
                </c:pt>
                <c:pt idx="8">
                  <c:v>27</c:v>
                </c:pt>
                <c:pt idx="9">
                  <c:v>23</c:v>
                </c:pt>
                <c:pt idx="10">
                  <c:v>25</c:v>
                </c:pt>
                <c:pt idx="11">
                  <c:v>0</c:v>
                </c:pt>
                <c:pt idx="12">
                  <c:v>21</c:v>
                </c:pt>
                <c:pt idx="13">
                  <c:v>18</c:v>
                </c:pt>
                <c:pt idx="14">
                  <c:v>15</c:v>
                </c:pt>
              </c:numCache>
            </c:numRef>
          </c:val>
          <c:extLst>
            <c:ext xmlns:c16="http://schemas.microsoft.com/office/drawing/2014/chart" uri="{C3380CC4-5D6E-409C-BE32-E72D297353CC}">
              <c16:uniqueId val="{00000000-B92C-49CE-A912-CB79D04286ED}"/>
            </c:ext>
          </c:extLst>
        </c:ser>
        <c:ser>
          <c:idx val="1"/>
          <c:order val="1"/>
          <c:tx>
            <c:strRef>
              <c:f>'Question-7'!$J$3</c:f>
              <c:strCache>
                <c:ptCount val="1"/>
                <c:pt idx="0">
                  <c:v>womens_events</c:v>
                </c:pt>
              </c:strCache>
            </c:strRef>
          </c:tx>
          <c:spPr>
            <a:solidFill>
              <a:schemeClr val="accent2"/>
            </a:solidFill>
            <a:ln>
              <a:noFill/>
            </a:ln>
            <a:effectLst/>
          </c:spPr>
          <c:invertIfNegative val="0"/>
          <c:cat>
            <c:strRef>
              <c:f>'Question-7'!$H$4:$H$18</c:f>
              <c:strCache>
                <c:ptCount val="15"/>
                <c:pt idx="0">
                  <c:v>Athletics</c:v>
                </c:pt>
                <c:pt idx="1">
                  <c:v>Shooting</c:v>
                </c:pt>
                <c:pt idx="2">
                  <c:v>Swimming</c:v>
                </c:pt>
                <c:pt idx="3">
                  <c:v>Cycling</c:v>
                </c:pt>
                <c:pt idx="4">
                  <c:v>Sailing</c:v>
                </c:pt>
                <c:pt idx="5">
                  <c:v>Wrestling</c:v>
                </c:pt>
                <c:pt idx="6">
                  <c:v>Cross Country Skiing</c:v>
                </c:pt>
                <c:pt idx="7">
                  <c:v>Gymnastics</c:v>
                </c:pt>
                <c:pt idx="8">
                  <c:v>Canoeing</c:v>
                </c:pt>
                <c:pt idx="9">
                  <c:v>Rowing</c:v>
                </c:pt>
                <c:pt idx="10">
                  <c:v>Archery</c:v>
                </c:pt>
                <c:pt idx="11">
                  <c:v>Art Competitions</c:v>
                </c:pt>
                <c:pt idx="12">
                  <c:v>Weightlifting</c:v>
                </c:pt>
                <c:pt idx="13">
                  <c:v>Fencing</c:v>
                </c:pt>
                <c:pt idx="14">
                  <c:v>Judo</c:v>
                </c:pt>
              </c:strCache>
            </c:strRef>
          </c:cat>
          <c:val>
            <c:numRef>
              <c:f>'Question-7'!$J$4:$J$18</c:f>
              <c:numCache>
                <c:formatCode>General</c:formatCode>
                <c:ptCount val="15"/>
                <c:pt idx="0">
                  <c:v>27</c:v>
                </c:pt>
                <c:pt idx="1">
                  <c:v>7</c:v>
                </c:pt>
                <c:pt idx="2">
                  <c:v>18</c:v>
                </c:pt>
                <c:pt idx="3">
                  <c:v>12</c:v>
                </c:pt>
                <c:pt idx="4">
                  <c:v>5</c:v>
                </c:pt>
                <c:pt idx="5">
                  <c:v>6</c:v>
                </c:pt>
                <c:pt idx="6">
                  <c:v>12</c:v>
                </c:pt>
                <c:pt idx="7">
                  <c:v>7</c:v>
                </c:pt>
                <c:pt idx="8">
                  <c:v>5</c:v>
                </c:pt>
                <c:pt idx="9">
                  <c:v>9</c:v>
                </c:pt>
                <c:pt idx="10">
                  <c:v>5</c:v>
                </c:pt>
                <c:pt idx="11">
                  <c:v>0</c:v>
                </c:pt>
                <c:pt idx="12">
                  <c:v>7</c:v>
                </c:pt>
                <c:pt idx="13">
                  <c:v>6</c:v>
                </c:pt>
                <c:pt idx="14">
                  <c:v>7</c:v>
                </c:pt>
              </c:numCache>
            </c:numRef>
          </c:val>
          <c:extLst>
            <c:ext xmlns:c16="http://schemas.microsoft.com/office/drawing/2014/chart" uri="{C3380CC4-5D6E-409C-BE32-E72D297353CC}">
              <c16:uniqueId val="{00000002-B92C-49CE-A912-CB79D04286ED}"/>
            </c:ext>
          </c:extLst>
        </c:ser>
        <c:ser>
          <c:idx val="2"/>
          <c:order val="2"/>
          <c:tx>
            <c:strRef>
              <c:f>'Question-7'!$K$3</c:f>
              <c:strCache>
                <c:ptCount val="1"/>
                <c:pt idx="0">
                  <c:v>mixed_events</c:v>
                </c:pt>
              </c:strCache>
            </c:strRef>
          </c:tx>
          <c:spPr>
            <a:solidFill>
              <a:schemeClr val="accent3"/>
            </a:solidFill>
            <a:ln>
              <a:noFill/>
            </a:ln>
            <a:effectLst/>
          </c:spPr>
          <c:invertIfNegative val="0"/>
          <c:cat>
            <c:strRef>
              <c:f>'Question-7'!$H$4:$H$18</c:f>
              <c:strCache>
                <c:ptCount val="15"/>
                <c:pt idx="0">
                  <c:v>Athletics</c:v>
                </c:pt>
                <c:pt idx="1">
                  <c:v>Shooting</c:v>
                </c:pt>
                <c:pt idx="2">
                  <c:v>Swimming</c:v>
                </c:pt>
                <c:pt idx="3">
                  <c:v>Cycling</c:v>
                </c:pt>
                <c:pt idx="4">
                  <c:v>Sailing</c:v>
                </c:pt>
                <c:pt idx="5">
                  <c:v>Wrestling</c:v>
                </c:pt>
                <c:pt idx="6">
                  <c:v>Cross Country Skiing</c:v>
                </c:pt>
                <c:pt idx="7">
                  <c:v>Gymnastics</c:v>
                </c:pt>
                <c:pt idx="8">
                  <c:v>Canoeing</c:v>
                </c:pt>
                <c:pt idx="9">
                  <c:v>Rowing</c:v>
                </c:pt>
                <c:pt idx="10">
                  <c:v>Archery</c:v>
                </c:pt>
                <c:pt idx="11">
                  <c:v>Art Competitions</c:v>
                </c:pt>
                <c:pt idx="12">
                  <c:v>Weightlifting</c:v>
                </c:pt>
                <c:pt idx="13">
                  <c:v>Fencing</c:v>
                </c:pt>
                <c:pt idx="14">
                  <c:v>Judo</c:v>
                </c:pt>
              </c:strCache>
            </c:strRef>
          </c:cat>
          <c:val>
            <c:numRef>
              <c:f>'Question-7'!$K$4:$K$18</c:f>
              <c:numCache>
                <c:formatCode>General</c:formatCode>
                <c:ptCount val="15"/>
                <c:pt idx="0">
                  <c:v>0</c:v>
                </c:pt>
                <c:pt idx="1">
                  <c:v>8</c:v>
                </c:pt>
                <c:pt idx="2">
                  <c:v>0</c:v>
                </c:pt>
                <c:pt idx="3">
                  <c:v>0</c:v>
                </c:pt>
                <c:pt idx="4">
                  <c:v>26</c:v>
                </c:pt>
                <c:pt idx="5">
                  <c:v>0</c:v>
                </c:pt>
                <c:pt idx="6">
                  <c:v>0</c:v>
                </c:pt>
                <c:pt idx="7">
                  <c:v>0</c:v>
                </c:pt>
                <c:pt idx="8">
                  <c:v>0</c:v>
                </c:pt>
                <c:pt idx="9">
                  <c:v>0</c:v>
                </c:pt>
                <c:pt idx="10">
                  <c:v>0</c:v>
                </c:pt>
                <c:pt idx="11">
                  <c:v>29</c:v>
                </c:pt>
                <c:pt idx="12">
                  <c:v>0</c:v>
                </c:pt>
                <c:pt idx="13">
                  <c:v>0</c:v>
                </c:pt>
                <c:pt idx="14">
                  <c:v>0</c:v>
                </c:pt>
              </c:numCache>
            </c:numRef>
          </c:val>
          <c:extLst>
            <c:ext xmlns:c16="http://schemas.microsoft.com/office/drawing/2014/chart" uri="{C3380CC4-5D6E-409C-BE32-E72D297353CC}">
              <c16:uniqueId val="{00000004-B92C-49CE-A912-CB79D04286ED}"/>
            </c:ext>
          </c:extLst>
        </c:ser>
        <c:dLbls>
          <c:showLegendKey val="0"/>
          <c:showVal val="0"/>
          <c:showCatName val="0"/>
          <c:showSerName val="0"/>
          <c:showPercent val="0"/>
          <c:showBubbleSize val="0"/>
        </c:dLbls>
        <c:gapWidth val="150"/>
        <c:overlap val="100"/>
        <c:axId val="729988104"/>
        <c:axId val="1134540296"/>
      </c:barChart>
      <c:catAx>
        <c:axId val="7299881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Sport Name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540296"/>
        <c:crosses val="autoZero"/>
        <c:auto val="1"/>
        <c:lblAlgn val="ctr"/>
        <c:lblOffset val="100"/>
        <c:noMultiLvlLbl val="0"/>
      </c:catAx>
      <c:valAx>
        <c:axId val="1134540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Events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988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 Olympic Events Introduced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'Question-8'!$L$3</c:f>
              <c:strCache>
                <c:ptCount val="1"/>
                <c:pt idx="0">
                  <c:v>Number of Events</c:v>
                </c:pt>
              </c:strCache>
            </c:strRef>
          </c:tx>
          <c:spPr>
            <a:ln w="19050" cap="rnd">
              <a:solidFill>
                <a:schemeClr val="accent1"/>
              </a:solidFill>
              <a:round/>
            </a:ln>
            <a:effectLst/>
          </c:spPr>
          <c:marker>
            <c:symbol val="none"/>
          </c:marker>
          <c:xVal>
            <c:numRef>
              <c:f>'Question-8'!K4:K11</c:f>
              <c:numCache>
                <c:formatCode>General</c:formatCode>
                <c:ptCount val="8"/>
                <c:pt idx="0">
                  <c:v>2002</c:v>
                </c:pt>
                <c:pt idx="1">
                  <c:v>2004</c:v>
                </c:pt>
                <c:pt idx="2">
                  <c:v>2006</c:v>
                </c:pt>
                <c:pt idx="3">
                  <c:v>2008</c:v>
                </c:pt>
                <c:pt idx="4">
                  <c:v>2010</c:v>
                </c:pt>
                <c:pt idx="5">
                  <c:v>2012</c:v>
                </c:pt>
                <c:pt idx="6">
                  <c:v>2014</c:v>
                </c:pt>
                <c:pt idx="7">
                  <c:v>2016</c:v>
                </c:pt>
              </c:numCache>
            </c:numRef>
          </c:xVal>
          <c:yVal>
            <c:numRef>
              <c:f>'Question-8'!L3:L11</c:f>
              <c:numCache>
                <c:formatCode>General</c:formatCode>
                <c:ptCount val="9"/>
                <c:pt idx="0">
                  <c:v>0</c:v>
                </c:pt>
                <c:pt idx="1">
                  <c:v>5</c:v>
                </c:pt>
                <c:pt idx="2">
                  <c:v>7</c:v>
                </c:pt>
                <c:pt idx="3">
                  <c:v>11</c:v>
                </c:pt>
                <c:pt idx="4">
                  <c:v>8</c:v>
                </c:pt>
                <c:pt idx="5">
                  <c:v>4</c:v>
                </c:pt>
                <c:pt idx="6">
                  <c:v>14</c:v>
                </c:pt>
                <c:pt idx="7">
                  <c:v>12</c:v>
                </c:pt>
                <c:pt idx="8">
                  <c:v>5</c:v>
                </c:pt>
              </c:numCache>
            </c:numRef>
          </c:yVal>
          <c:smooth val="0"/>
          <c:extLst>
            <c:ext xmlns:c16="http://schemas.microsoft.com/office/drawing/2014/chart" uri="{C3380CC4-5D6E-409C-BE32-E72D297353CC}">
              <c16:uniqueId val="{00000000-CA56-4D25-B6AC-A0AB59131A2A}"/>
            </c:ext>
          </c:extLst>
        </c:ser>
        <c:dLbls>
          <c:showLegendKey val="0"/>
          <c:showVal val="0"/>
          <c:showCatName val="0"/>
          <c:showSerName val="0"/>
          <c:showPercent val="0"/>
          <c:showBubbleSize val="0"/>
        </c:dLbls>
        <c:axId val="1845296648"/>
        <c:axId val="730002952"/>
      </c:scatterChart>
      <c:valAx>
        <c:axId val="184529664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Introduction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002952"/>
        <c:crosses val="autoZero"/>
        <c:crossBetween val="midCat"/>
      </c:valAx>
      <c:valAx>
        <c:axId val="730002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Events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29664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Discontinued Olympic Events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'Question-9'!$M$3</c:f>
              <c:strCache>
                <c:ptCount val="1"/>
                <c:pt idx="0">
                  <c:v>Discontinued Events</c:v>
                </c:pt>
              </c:strCache>
            </c:strRef>
          </c:tx>
          <c:spPr>
            <a:solidFill>
              <a:srgbClr val="548235"/>
            </a:solidFill>
            <a:ln>
              <a:noFill/>
            </a:ln>
            <a:effectLst/>
          </c:spPr>
          <c:invertIfNegative val="0"/>
          <c:cat>
            <c:numRef>
              <c:f>'Question-9'!$L$4:$L$37</c:f>
              <c:numCache>
                <c:formatCode>General</c:formatCode>
                <c:ptCount val="34"/>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numCache>
            </c:numRef>
          </c:cat>
          <c:val>
            <c:numRef>
              <c:f>'Question-9'!$M$4:$M$37</c:f>
              <c:numCache>
                <c:formatCode>General</c:formatCode>
                <c:ptCount val="34"/>
                <c:pt idx="0">
                  <c:v>11</c:v>
                </c:pt>
                <c:pt idx="1">
                  <c:v>39</c:v>
                </c:pt>
                <c:pt idx="2">
                  <c:v>33</c:v>
                </c:pt>
                <c:pt idx="3">
                  <c:v>25</c:v>
                </c:pt>
                <c:pt idx="4">
                  <c:v>31</c:v>
                </c:pt>
                <c:pt idx="5">
                  <c:v>22</c:v>
                </c:pt>
                <c:pt idx="6">
                  <c:v>36</c:v>
                </c:pt>
                <c:pt idx="7">
                  <c:v>21</c:v>
                </c:pt>
                <c:pt idx="8">
                  <c:v>1</c:v>
                </c:pt>
                <c:pt idx="9">
                  <c:v>7</c:v>
                </c:pt>
                <c:pt idx="10">
                  <c:v>10</c:v>
                </c:pt>
                <c:pt idx="11">
                  <c:v>20</c:v>
                </c:pt>
                <c:pt idx="12">
                  <c:v>5</c:v>
                </c:pt>
                <c:pt idx="13">
                  <c:v>7</c:v>
                </c:pt>
                <c:pt idx="14">
                  <c:v>3</c:v>
                </c:pt>
                <c:pt idx="15">
                  <c:v>1</c:v>
                </c:pt>
                <c:pt idx="16">
                  <c:v>2</c:v>
                </c:pt>
                <c:pt idx="17">
                  <c:v>3</c:v>
                </c:pt>
                <c:pt idx="18">
                  <c:v>0</c:v>
                </c:pt>
                <c:pt idx="19">
                  <c:v>6</c:v>
                </c:pt>
                <c:pt idx="20">
                  <c:v>3</c:v>
                </c:pt>
                <c:pt idx="21">
                  <c:v>4</c:v>
                </c:pt>
                <c:pt idx="22">
                  <c:v>11</c:v>
                </c:pt>
                <c:pt idx="23">
                  <c:v>0</c:v>
                </c:pt>
                <c:pt idx="24">
                  <c:v>8</c:v>
                </c:pt>
                <c:pt idx="25">
                  <c:v>6</c:v>
                </c:pt>
                <c:pt idx="26">
                  <c:v>5</c:v>
                </c:pt>
                <c:pt idx="27">
                  <c:v>5</c:v>
                </c:pt>
                <c:pt idx="28">
                  <c:v>6</c:v>
                </c:pt>
                <c:pt idx="29">
                  <c:v>2</c:v>
                </c:pt>
                <c:pt idx="30">
                  <c:v>14</c:v>
                </c:pt>
                <c:pt idx="31">
                  <c:v>0</c:v>
                </c:pt>
                <c:pt idx="32">
                  <c:v>6</c:v>
                </c:pt>
                <c:pt idx="33">
                  <c:v>98</c:v>
                </c:pt>
              </c:numCache>
            </c:numRef>
          </c:val>
          <c:extLst>
            <c:ext xmlns:c16="http://schemas.microsoft.com/office/drawing/2014/chart" uri="{C3380CC4-5D6E-409C-BE32-E72D297353CC}">
              <c16:uniqueId val="{00000002-F459-475D-93FD-383697FF6167}"/>
            </c:ext>
          </c:extLst>
        </c:ser>
        <c:dLbls>
          <c:showLegendKey val="0"/>
          <c:showVal val="0"/>
          <c:showCatName val="0"/>
          <c:showSerName val="0"/>
          <c:showPercent val="0"/>
          <c:showBubbleSize val="0"/>
        </c:dLbls>
        <c:gapWidth val="219"/>
        <c:overlap val="100"/>
        <c:axId val="2081927175"/>
        <c:axId val="2082529287"/>
      </c:barChart>
      <c:catAx>
        <c:axId val="2081927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Last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529287"/>
        <c:crosses val="autoZero"/>
        <c:auto val="1"/>
        <c:lblAlgn val="ctr"/>
        <c:lblOffset val="100"/>
        <c:noMultiLvlLbl val="0"/>
      </c:catAx>
      <c:valAx>
        <c:axId val="2082529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Discontinued Events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927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a:rPr>
              <a:t>Average Height and Weight Over Time</a:t>
            </a:r>
          </a:p>
        </c:rich>
      </c:tx>
      <c:layout>
        <c:manualLayout>
          <c:xMode val="edge"/>
          <c:yMode val="edge"/>
          <c:x val="0.35797047490810274"/>
          <c:y val="4.68584525510768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'Question-10'!$I$3</c:f>
              <c:strCache>
                <c:ptCount val="1"/>
                <c:pt idx="0">
                  <c:v>avg_height</c:v>
                </c:pt>
              </c:strCache>
            </c:strRef>
          </c:tx>
          <c:spPr>
            <a:ln w="19050" cap="rnd">
              <a:solidFill>
                <a:schemeClr val="accent1"/>
              </a:solidFill>
              <a:round/>
            </a:ln>
            <a:effectLst/>
          </c:spPr>
          <c:marker>
            <c:symbol val="none"/>
          </c:marker>
          <c:cat>
            <c:numRef>
              <c:f>'Question-10'!$H$4:$H$38</c:f>
              <c:numCache>
                <c:formatCode>General</c:formatCod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numCache>
            </c:numRef>
          </c:cat>
          <c:val>
            <c:numRef>
              <c:f>'Question-10'!$I$4:$I$38</c:f>
              <c:numCache>
                <c:formatCode>General</c:formatCode>
                <c:ptCount val="35"/>
                <c:pt idx="0">
                  <c:v>173.82</c:v>
                </c:pt>
                <c:pt idx="1">
                  <c:v>176.03</c:v>
                </c:pt>
                <c:pt idx="2">
                  <c:v>176.22</c:v>
                </c:pt>
                <c:pt idx="3">
                  <c:v>177.49</c:v>
                </c:pt>
                <c:pt idx="4">
                  <c:v>176.86</c:v>
                </c:pt>
                <c:pt idx="5">
                  <c:v>177.63</c:v>
                </c:pt>
                <c:pt idx="6">
                  <c:v>176.47</c:v>
                </c:pt>
                <c:pt idx="7">
                  <c:v>176</c:v>
                </c:pt>
                <c:pt idx="8">
                  <c:v>176.38</c:v>
                </c:pt>
                <c:pt idx="9">
                  <c:v>175.72</c:v>
                </c:pt>
                <c:pt idx="10">
                  <c:v>176.53</c:v>
                </c:pt>
                <c:pt idx="11">
                  <c:v>177.16</c:v>
                </c:pt>
                <c:pt idx="12">
                  <c:v>176.24</c:v>
                </c:pt>
                <c:pt idx="13">
                  <c:v>175.72</c:v>
                </c:pt>
                <c:pt idx="14">
                  <c:v>174.99</c:v>
                </c:pt>
                <c:pt idx="15">
                  <c:v>175.16</c:v>
                </c:pt>
                <c:pt idx="16">
                  <c:v>175.67</c:v>
                </c:pt>
                <c:pt idx="17">
                  <c:v>176.32</c:v>
                </c:pt>
                <c:pt idx="18">
                  <c:v>176.62</c:v>
                </c:pt>
                <c:pt idx="19">
                  <c:v>177.12</c:v>
                </c:pt>
                <c:pt idx="20">
                  <c:v>176.79</c:v>
                </c:pt>
                <c:pt idx="21">
                  <c:v>177.11</c:v>
                </c:pt>
                <c:pt idx="22">
                  <c:v>177.41</c:v>
                </c:pt>
                <c:pt idx="23">
                  <c:v>175.91</c:v>
                </c:pt>
                <c:pt idx="24">
                  <c:v>177.36</c:v>
                </c:pt>
                <c:pt idx="25">
                  <c:v>174.97</c:v>
                </c:pt>
                <c:pt idx="26">
                  <c:v>177.16</c:v>
                </c:pt>
                <c:pt idx="27">
                  <c:v>175.28</c:v>
                </c:pt>
                <c:pt idx="28">
                  <c:v>177.03</c:v>
                </c:pt>
                <c:pt idx="29">
                  <c:v>175.04</c:v>
                </c:pt>
                <c:pt idx="30">
                  <c:v>177.07</c:v>
                </c:pt>
                <c:pt idx="31">
                  <c:v>175.33</c:v>
                </c:pt>
                <c:pt idx="32">
                  <c:v>177.1</c:v>
                </c:pt>
                <c:pt idx="33">
                  <c:v>175.32</c:v>
                </c:pt>
                <c:pt idx="34">
                  <c:v>176.69</c:v>
                </c:pt>
              </c:numCache>
            </c:numRef>
          </c:val>
          <c:smooth val="0"/>
          <c:extLst>
            <c:ext xmlns:c16="http://schemas.microsoft.com/office/drawing/2014/chart" uri="{C3380CC4-5D6E-409C-BE32-E72D297353CC}">
              <c16:uniqueId val="{00000000-559B-4EAD-A470-DC8394C3464B}"/>
            </c:ext>
          </c:extLst>
        </c:ser>
        <c:ser>
          <c:idx val="1"/>
          <c:order val="1"/>
          <c:tx>
            <c:strRef>
              <c:f>'Question-10'!$J$3</c:f>
              <c:strCache>
                <c:ptCount val="1"/>
                <c:pt idx="0">
                  <c:v>avg_weight</c:v>
                </c:pt>
              </c:strCache>
            </c:strRef>
          </c:tx>
          <c:spPr>
            <a:ln w="19050" cap="rnd">
              <a:solidFill>
                <a:schemeClr val="accent2"/>
              </a:solidFill>
              <a:round/>
            </a:ln>
            <a:effectLst/>
          </c:spPr>
          <c:marker>
            <c:symbol val="none"/>
          </c:marker>
          <c:cat>
            <c:numRef>
              <c:f>'Question-10'!$H$4:$H$38</c:f>
              <c:numCache>
                <c:formatCode>General</c:formatCod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numCache>
            </c:numRef>
          </c:cat>
          <c:val>
            <c:numRef>
              <c:f>'Question-10'!$J$4:$J$38</c:f>
              <c:numCache>
                <c:formatCode>General</c:formatCode>
                <c:ptCount val="35"/>
                <c:pt idx="0">
                  <c:v>69.91</c:v>
                </c:pt>
                <c:pt idx="1">
                  <c:v>73.88</c:v>
                </c:pt>
                <c:pt idx="2">
                  <c:v>71.900000000000006</c:v>
                </c:pt>
                <c:pt idx="3">
                  <c:v>73.53</c:v>
                </c:pt>
                <c:pt idx="4">
                  <c:v>72.650000000000006</c:v>
                </c:pt>
                <c:pt idx="5">
                  <c:v>72.87</c:v>
                </c:pt>
                <c:pt idx="6">
                  <c:v>72.52</c:v>
                </c:pt>
                <c:pt idx="7">
                  <c:v>72.13</c:v>
                </c:pt>
                <c:pt idx="8">
                  <c:v>71.61</c:v>
                </c:pt>
                <c:pt idx="9">
                  <c:v>70.819999999999993</c:v>
                </c:pt>
                <c:pt idx="10">
                  <c:v>71.89</c:v>
                </c:pt>
                <c:pt idx="11">
                  <c:v>72.88</c:v>
                </c:pt>
                <c:pt idx="12">
                  <c:v>72.53</c:v>
                </c:pt>
                <c:pt idx="13">
                  <c:v>72.78</c:v>
                </c:pt>
                <c:pt idx="14">
                  <c:v>71.63</c:v>
                </c:pt>
                <c:pt idx="15">
                  <c:v>71.89</c:v>
                </c:pt>
                <c:pt idx="16">
                  <c:v>72.010000000000005</c:v>
                </c:pt>
                <c:pt idx="17">
                  <c:v>72.650000000000006</c:v>
                </c:pt>
                <c:pt idx="18">
                  <c:v>72.790000000000006</c:v>
                </c:pt>
                <c:pt idx="19">
                  <c:v>73.17</c:v>
                </c:pt>
                <c:pt idx="20">
                  <c:v>72.150000000000006</c:v>
                </c:pt>
                <c:pt idx="21">
                  <c:v>72.62</c:v>
                </c:pt>
                <c:pt idx="22">
                  <c:v>73</c:v>
                </c:pt>
                <c:pt idx="23">
                  <c:v>73.03</c:v>
                </c:pt>
                <c:pt idx="24">
                  <c:v>72.77</c:v>
                </c:pt>
                <c:pt idx="25">
                  <c:v>72.63</c:v>
                </c:pt>
                <c:pt idx="26">
                  <c:v>72.569999999999993</c:v>
                </c:pt>
                <c:pt idx="27">
                  <c:v>73.239999999999995</c:v>
                </c:pt>
                <c:pt idx="28">
                  <c:v>72.709999999999994</c:v>
                </c:pt>
                <c:pt idx="29">
                  <c:v>72.290000000000006</c:v>
                </c:pt>
                <c:pt idx="30">
                  <c:v>72.55</c:v>
                </c:pt>
                <c:pt idx="31">
                  <c:v>72.52</c:v>
                </c:pt>
                <c:pt idx="32">
                  <c:v>72.31</c:v>
                </c:pt>
                <c:pt idx="33">
                  <c:v>72.45</c:v>
                </c:pt>
                <c:pt idx="34">
                  <c:v>71.92</c:v>
                </c:pt>
              </c:numCache>
            </c:numRef>
          </c:val>
          <c:smooth val="0"/>
          <c:extLst>
            <c:ext xmlns:c16="http://schemas.microsoft.com/office/drawing/2014/chart" uri="{C3380CC4-5D6E-409C-BE32-E72D297353CC}">
              <c16:uniqueId val="{00000001-559B-4EAD-A470-DC8394C3464B}"/>
            </c:ext>
          </c:extLst>
        </c:ser>
        <c:dLbls>
          <c:showLegendKey val="0"/>
          <c:showVal val="0"/>
          <c:showCatName val="0"/>
          <c:showSerName val="0"/>
          <c:showPercent val="0"/>
          <c:showBubbleSize val="0"/>
        </c:dLbls>
        <c:smooth val="0"/>
        <c:axId val="2099077639"/>
        <c:axId val="2099079687"/>
      </c:lineChart>
      <c:catAx>
        <c:axId val="20990776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Olympic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079687"/>
        <c:crosses val="autoZero"/>
        <c:auto val="1"/>
        <c:lblAlgn val="ctr"/>
        <c:lblOffset val="100"/>
        <c:noMultiLvlLbl val="0"/>
      </c:catAx>
      <c:valAx>
        <c:axId val="2099079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077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Dominant Sport-Country Medal Performances</a:t>
            </a:r>
          </a:p>
        </c:rich>
      </c:tx>
      <c:layout>
        <c:manualLayout>
          <c:xMode val="edge"/>
          <c:yMode val="edge"/>
          <c:x val="0.22962433979356725"/>
          <c:y val="3.09948661598898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'Question-11'!$M$3</c:f>
              <c:strCache>
                <c:ptCount val="1"/>
                <c:pt idx="0">
                  <c:v>medal_count</c:v>
                </c:pt>
              </c:strCache>
            </c:strRef>
          </c:tx>
          <c:spPr>
            <a:solidFill>
              <a:srgbClr val="C65911"/>
            </a:solidFill>
            <a:ln>
              <a:noFill/>
            </a:ln>
            <a:effectLst/>
          </c:spPr>
          <c:invertIfNegative val="0"/>
          <c:cat>
            <c:strRef>
              <c:f>'Question-11'!$L$4:$L$18</c:f>
              <c:strCache>
                <c:ptCount val="15"/>
                <c:pt idx="0">
                  <c:v>Swimming - USA</c:v>
                </c:pt>
                <c:pt idx="1">
                  <c:v>Athletics - USA</c:v>
                </c:pt>
                <c:pt idx="2">
                  <c:v>Fencing - Italy</c:v>
                </c:pt>
                <c:pt idx="3">
                  <c:v>Rowing - USA</c:v>
                </c:pt>
                <c:pt idx="4">
                  <c:v>Ice Hockey - Canada</c:v>
                </c:pt>
                <c:pt idx="5">
                  <c:v>Basketball - USA</c:v>
                </c:pt>
                <c:pt idx="6">
                  <c:v>Gymnastics - Soviet Union</c:v>
                </c:pt>
                <c:pt idx="7">
                  <c:v>Hockey - Netherlands</c:v>
                </c:pt>
                <c:pt idx="8">
                  <c:v>Shooting - USA</c:v>
                </c:pt>
                <c:pt idx="9">
                  <c:v>Canoeing - Germany</c:v>
                </c:pt>
                <c:pt idx="10">
                  <c:v>Equestrianism - Germany</c:v>
                </c:pt>
                <c:pt idx="11">
                  <c:v>Water Polo - Hungary</c:v>
                </c:pt>
                <c:pt idx="12">
                  <c:v>Cycling - UK</c:v>
                </c:pt>
                <c:pt idx="13">
                  <c:v>Cross Country Skiing - Norway</c:v>
                </c:pt>
                <c:pt idx="14">
                  <c:v>Volleyball - Soviet Union</c:v>
                </c:pt>
              </c:strCache>
            </c:strRef>
          </c:cat>
          <c:val>
            <c:numRef>
              <c:f>'Question-11'!$M$4:$M$18</c:f>
              <c:numCache>
                <c:formatCode>General</c:formatCode>
                <c:ptCount val="15"/>
                <c:pt idx="0">
                  <c:v>1038</c:v>
                </c:pt>
                <c:pt idx="1">
                  <c:v>1035</c:v>
                </c:pt>
                <c:pt idx="2">
                  <c:v>358</c:v>
                </c:pt>
                <c:pt idx="3">
                  <c:v>348</c:v>
                </c:pt>
                <c:pt idx="4">
                  <c:v>347</c:v>
                </c:pt>
                <c:pt idx="5">
                  <c:v>331</c:v>
                </c:pt>
                <c:pt idx="6">
                  <c:v>290</c:v>
                </c:pt>
                <c:pt idx="7">
                  <c:v>255</c:v>
                </c:pt>
                <c:pt idx="8">
                  <c:v>191</c:v>
                </c:pt>
                <c:pt idx="9">
                  <c:v>184</c:v>
                </c:pt>
                <c:pt idx="10">
                  <c:v>179</c:v>
                </c:pt>
                <c:pt idx="11">
                  <c:v>172</c:v>
                </c:pt>
                <c:pt idx="12">
                  <c:v>172</c:v>
                </c:pt>
                <c:pt idx="13">
                  <c:v>164</c:v>
                </c:pt>
                <c:pt idx="14">
                  <c:v>146</c:v>
                </c:pt>
              </c:numCache>
            </c:numRef>
          </c:val>
          <c:extLst>
            <c:ext xmlns:c16="http://schemas.microsoft.com/office/drawing/2014/chart" uri="{C3380CC4-5D6E-409C-BE32-E72D297353CC}">
              <c16:uniqueId val="{00000000-929B-41DE-BA77-15ED33610ACE}"/>
            </c:ext>
          </c:extLst>
        </c:ser>
        <c:dLbls>
          <c:showLegendKey val="0"/>
          <c:showVal val="0"/>
          <c:showCatName val="0"/>
          <c:showSerName val="0"/>
          <c:showPercent val="0"/>
          <c:showBubbleSize val="0"/>
        </c:dLbls>
        <c:gapWidth val="182"/>
        <c:axId val="333281288"/>
        <c:axId val="333299720"/>
      </c:barChart>
      <c:catAx>
        <c:axId val="3332812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Sport - Country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99720"/>
        <c:crosses val="autoZero"/>
        <c:auto val="1"/>
        <c:lblAlgn val="ctr"/>
        <c:lblOffset val="100"/>
        <c:noMultiLvlLbl val="0"/>
      </c:catAx>
      <c:valAx>
        <c:axId val="3332997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Medal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81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15 Countries by Medal Success Rate</a:t>
            </a:r>
          </a:p>
        </c:rich>
      </c:tx>
      <c:layout>
        <c:manualLayout>
          <c:xMode val="edge"/>
          <c:yMode val="edge"/>
          <c:x val="0.28365246310958409"/>
          <c:y val="3.15788731212066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'Question-12'!$O$3</c:f>
              <c:strCache>
                <c:ptCount val="1"/>
                <c:pt idx="0">
                  <c:v>medal_success_rate</c:v>
                </c:pt>
              </c:strCache>
            </c:strRef>
          </c:tx>
          <c:spPr>
            <a:solidFill>
              <a:srgbClr val="00B0F0"/>
            </a:solidFill>
            <a:ln>
              <a:noFill/>
            </a:ln>
            <a:effectLst/>
          </c:spPr>
          <c:invertIfNegative val="0"/>
          <c:cat>
            <c:strRef>
              <c:f>'Question-12'!$N$4:$N$18</c:f>
              <c:strCache>
                <c:ptCount val="15"/>
                <c:pt idx="0">
                  <c:v>Soviet Union</c:v>
                </c:pt>
                <c:pt idx="1">
                  <c:v>Unified Team</c:v>
                </c:pt>
                <c:pt idx="2">
                  <c:v>East Germany</c:v>
                </c:pt>
                <c:pt idx="3">
                  <c:v>Australasia</c:v>
                </c:pt>
                <c:pt idx="4">
                  <c:v>USA</c:v>
                </c:pt>
                <c:pt idx="5">
                  <c:v>Russia</c:v>
                </c:pt>
                <c:pt idx="6">
                  <c:v>Montenegro</c:v>
                </c:pt>
                <c:pt idx="7">
                  <c:v>Germany</c:v>
                </c:pt>
                <c:pt idx="8">
                  <c:v>Serbia</c:v>
                </c:pt>
                <c:pt idx="9">
                  <c:v>Norway</c:v>
                </c:pt>
                <c:pt idx="10">
                  <c:v>West Germany</c:v>
                </c:pt>
                <c:pt idx="11">
                  <c:v>Sweden</c:v>
                </c:pt>
                <c:pt idx="12">
                  <c:v>Serbia and Montenegro</c:v>
                </c:pt>
                <c:pt idx="13">
                  <c:v>Croatia</c:v>
                </c:pt>
                <c:pt idx="14">
                  <c:v>Pakistan</c:v>
                </c:pt>
              </c:strCache>
            </c:strRef>
          </c:cat>
          <c:val>
            <c:numRef>
              <c:f>'Question-12'!$O$4:$O$18</c:f>
              <c:numCache>
                <c:formatCode>General</c:formatCode>
                <c:ptCount val="15"/>
                <c:pt idx="0">
                  <c:v>59.38</c:v>
                </c:pt>
                <c:pt idx="1">
                  <c:v>52.91</c:v>
                </c:pt>
                <c:pt idx="2">
                  <c:v>52.28</c:v>
                </c:pt>
                <c:pt idx="3">
                  <c:v>49.02</c:v>
                </c:pt>
                <c:pt idx="4">
                  <c:v>39.72</c:v>
                </c:pt>
                <c:pt idx="5">
                  <c:v>36.42</c:v>
                </c:pt>
                <c:pt idx="6">
                  <c:v>32.729999999999997</c:v>
                </c:pt>
                <c:pt idx="7">
                  <c:v>32.71</c:v>
                </c:pt>
                <c:pt idx="8">
                  <c:v>32.31</c:v>
                </c:pt>
                <c:pt idx="9">
                  <c:v>29.87</c:v>
                </c:pt>
                <c:pt idx="10">
                  <c:v>29.38</c:v>
                </c:pt>
                <c:pt idx="11">
                  <c:v>29.3</c:v>
                </c:pt>
                <c:pt idx="12">
                  <c:v>28.29</c:v>
                </c:pt>
                <c:pt idx="13">
                  <c:v>28.27</c:v>
                </c:pt>
                <c:pt idx="14">
                  <c:v>26.91</c:v>
                </c:pt>
              </c:numCache>
            </c:numRef>
          </c:val>
          <c:extLst>
            <c:ext xmlns:c16="http://schemas.microsoft.com/office/drawing/2014/chart" uri="{C3380CC4-5D6E-409C-BE32-E72D297353CC}">
              <c16:uniqueId val="{00000000-E213-47C8-90DC-219FA33B8D01}"/>
            </c:ext>
          </c:extLst>
        </c:ser>
        <c:dLbls>
          <c:showLegendKey val="0"/>
          <c:showVal val="0"/>
          <c:showCatName val="0"/>
          <c:showSerName val="0"/>
          <c:showPercent val="0"/>
          <c:showBubbleSize val="0"/>
        </c:dLbls>
        <c:gapWidth val="219"/>
        <c:overlap val="100"/>
        <c:axId val="63481351"/>
        <c:axId val="63483399"/>
      </c:barChart>
      <c:catAx>
        <c:axId val="63481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region_name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83399"/>
        <c:crosses val="autoZero"/>
        <c:auto val="1"/>
        <c:lblAlgn val="ctr"/>
        <c:lblOffset val="100"/>
        <c:noMultiLvlLbl val="0"/>
      </c:catAx>
      <c:valAx>
        <c:axId val="63483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Medal Success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81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a:rPr>
              <a:t>Top 15 Countries Consistently Winning Medals Across Olympic Editions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'Question-13'!$I$3</c:f>
              <c:strCache>
                <c:ptCount val="1"/>
                <c:pt idx="0">
                  <c:v>editions_with_medals</c:v>
                </c:pt>
              </c:strCache>
            </c:strRef>
          </c:tx>
          <c:spPr>
            <a:solidFill>
              <a:srgbClr val="C65911"/>
            </a:solidFill>
            <a:ln>
              <a:noFill/>
            </a:ln>
            <a:effectLst/>
          </c:spPr>
          <c:invertIfNegative val="0"/>
          <c:cat>
            <c:strRef>
              <c:f>'Question-13'!$H$4:$H$18</c:f>
              <c:strCache>
                <c:ptCount val="15"/>
                <c:pt idx="0">
                  <c:v>USA</c:v>
                </c:pt>
                <c:pt idx="1">
                  <c:v>France</c:v>
                </c:pt>
                <c:pt idx="2">
                  <c:v>Sweden</c:v>
                </c:pt>
                <c:pt idx="3">
                  <c:v>Canada</c:v>
                </c:pt>
                <c:pt idx="4">
                  <c:v>Switzerland</c:v>
                </c:pt>
                <c:pt idx="5">
                  <c:v>Finland</c:v>
                </c:pt>
                <c:pt idx="6">
                  <c:v>Austria</c:v>
                </c:pt>
                <c:pt idx="7">
                  <c:v>Norway</c:v>
                </c:pt>
                <c:pt idx="8">
                  <c:v>Germany</c:v>
                </c:pt>
                <c:pt idx="9">
                  <c:v>Italy</c:v>
                </c:pt>
                <c:pt idx="10">
                  <c:v>UK</c:v>
                </c:pt>
                <c:pt idx="11">
                  <c:v>Netherlands</c:v>
                </c:pt>
                <c:pt idx="12">
                  <c:v>Australia</c:v>
                </c:pt>
                <c:pt idx="13">
                  <c:v>Czechoslovakia</c:v>
                </c:pt>
                <c:pt idx="14">
                  <c:v>Hungary</c:v>
                </c:pt>
              </c:strCache>
            </c:strRef>
          </c:cat>
          <c:val>
            <c:numRef>
              <c:f>'Question-13'!$I$4:$I$18</c:f>
              <c:numCache>
                <c:formatCode>General</c:formatCode>
                <c:ptCount val="15"/>
                <c:pt idx="0">
                  <c:v>50</c:v>
                </c:pt>
                <c:pt idx="1">
                  <c:v>49</c:v>
                </c:pt>
                <c:pt idx="2">
                  <c:v>49</c:v>
                </c:pt>
                <c:pt idx="3">
                  <c:v>49</c:v>
                </c:pt>
                <c:pt idx="4">
                  <c:v>49</c:v>
                </c:pt>
                <c:pt idx="5">
                  <c:v>48</c:v>
                </c:pt>
                <c:pt idx="6">
                  <c:v>48</c:v>
                </c:pt>
                <c:pt idx="7">
                  <c:v>47</c:v>
                </c:pt>
                <c:pt idx="8">
                  <c:v>46</c:v>
                </c:pt>
                <c:pt idx="9">
                  <c:v>45</c:v>
                </c:pt>
                <c:pt idx="10">
                  <c:v>44</c:v>
                </c:pt>
                <c:pt idx="11">
                  <c:v>41</c:v>
                </c:pt>
                <c:pt idx="12">
                  <c:v>36</c:v>
                </c:pt>
                <c:pt idx="13">
                  <c:v>36</c:v>
                </c:pt>
                <c:pt idx="14">
                  <c:v>35</c:v>
                </c:pt>
              </c:numCache>
            </c:numRef>
          </c:val>
          <c:extLst>
            <c:ext xmlns:c16="http://schemas.microsoft.com/office/drawing/2014/chart" uri="{C3380CC4-5D6E-409C-BE32-E72D297353CC}">
              <c16:uniqueId val="{00000000-3546-4D80-939B-92F806674657}"/>
            </c:ext>
          </c:extLst>
        </c:ser>
        <c:dLbls>
          <c:showLegendKey val="0"/>
          <c:showVal val="0"/>
          <c:showCatName val="0"/>
          <c:showSerName val="0"/>
          <c:showPercent val="0"/>
          <c:showBubbleSize val="0"/>
        </c:dLbls>
        <c:gapWidth val="182"/>
        <c:axId val="76786183"/>
        <c:axId val="76788743"/>
      </c:barChart>
      <c:catAx>
        <c:axId val="767861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88743"/>
        <c:crosses val="autoZero"/>
        <c:auto val="1"/>
        <c:lblAlgn val="ctr"/>
        <c:lblOffset val="100"/>
        <c:noMultiLvlLbl val="0"/>
      </c:catAx>
      <c:valAx>
        <c:axId val="767887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Editions with Medals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86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15 Sport-Region Combinations by Medalist Count</a:t>
            </a:r>
          </a:p>
        </c:rich>
      </c:tx>
      <c:layout>
        <c:manualLayout>
          <c:xMode val="edge"/>
          <c:yMode val="edge"/>
          <c:x val="0.17819134021196212"/>
          <c:y val="2.96650690402830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'Question-14'!$M$3</c:f>
              <c:strCache>
                <c:ptCount val="1"/>
                <c:pt idx="0">
                  <c:v>medalists</c:v>
                </c:pt>
              </c:strCache>
            </c:strRef>
          </c:tx>
          <c:spPr>
            <a:solidFill>
              <a:schemeClr val="accent1"/>
            </a:solidFill>
            <a:ln>
              <a:noFill/>
            </a:ln>
            <a:effectLst/>
          </c:spPr>
          <c:invertIfNegative val="0"/>
          <c:cat>
            <c:strRef>
              <c:f>'Question-14'!$L$4:$L$18</c:f>
              <c:strCache>
                <c:ptCount val="15"/>
                <c:pt idx="0">
                  <c:v>Athletics (USA)</c:v>
                </c:pt>
                <c:pt idx="1">
                  <c:v>Swimming (USA)</c:v>
                </c:pt>
                <c:pt idx="2">
                  <c:v>Rowing (USA)</c:v>
                </c:pt>
                <c:pt idx="3">
                  <c:v>Ice Hockey (Canada)</c:v>
                </c:pt>
                <c:pt idx="4">
                  <c:v>Basketball (USA)</c:v>
                </c:pt>
                <c:pt idx="5">
                  <c:v>Hockey (Netherlands)</c:v>
                </c:pt>
                <c:pt idx="6">
                  <c:v>Fencing (France)</c:v>
                </c:pt>
                <c:pt idx="7">
                  <c:v>Football (Brazil)</c:v>
                </c:pt>
                <c:pt idx="8">
                  <c:v>Water Polo (USA)</c:v>
                </c:pt>
                <c:pt idx="9">
                  <c:v>Sailing (USA)</c:v>
                </c:pt>
                <c:pt idx="10">
                  <c:v>Gymnastics (USA)</c:v>
                </c:pt>
                <c:pt idx="11">
                  <c:v>Wrestling (USA)</c:v>
                </c:pt>
                <c:pt idx="12">
                  <c:v>Cycling (UK)</c:v>
                </c:pt>
                <c:pt idx="13">
                  <c:v>Volleyball (Soviet Union)</c:v>
                </c:pt>
                <c:pt idx="14">
                  <c:v>Shooting (USA)</c:v>
                </c:pt>
              </c:strCache>
            </c:strRef>
          </c:cat>
          <c:val>
            <c:numRef>
              <c:f>'Question-14'!$M$4:$M$18</c:f>
              <c:numCache>
                <c:formatCode>General</c:formatCode>
                <c:ptCount val="15"/>
                <c:pt idx="0">
                  <c:v>676</c:v>
                </c:pt>
                <c:pt idx="1">
                  <c:v>479</c:v>
                </c:pt>
                <c:pt idx="2">
                  <c:v>306</c:v>
                </c:pt>
                <c:pt idx="3">
                  <c:v>276</c:v>
                </c:pt>
                <c:pt idx="4">
                  <c:v>262</c:v>
                </c:pt>
                <c:pt idx="5">
                  <c:v>173</c:v>
                </c:pt>
                <c:pt idx="6">
                  <c:v>167</c:v>
                </c:pt>
                <c:pt idx="7">
                  <c:v>119</c:v>
                </c:pt>
                <c:pt idx="8">
                  <c:v>119</c:v>
                </c:pt>
                <c:pt idx="9">
                  <c:v>115</c:v>
                </c:pt>
                <c:pt idx="10">
                  <c:v>111</c:v>
                </c:pt>
                <c:pt idx="11">
                  <c:v>111</c:v>
                </c:pt>
                <c:pt idx="12">
                  <c:v>109</c:v>
                </c:pt>
                <c:pt idx="13">
                  <c:v>107</c:v>
                </c:pt>
                <c:pt idx="14">
                  <c:v>104</c:v>
                </c:pt>
              </c:numCache>
            </c:numRef>
          </c:val>
          <c:extLst>
            <c:ext xmlns:c16="http://schemas.microsoft.com/office/drawing/2014/chart" uri="{C3380CC4-5D6E-409C-BE32-E72D297353CC}">
              <c16:uniqueId val="{00000000-51DA-42DF-A8B7-0941771FA3D2}"/>
            </c:ext>
          </c:extLst>
        </c:ser>
        <c:dLbls>
          <c:showLegendKey val="0"/>
          <c:showVal val="0"/>
          <c:showCatName val="0"/>
          <c:showSerName val="0"/>
          <c:showPercent val="0"/>
          <c:showBubbleSize val="0"/>
        </c:dLbls>
        <c:gapWidth val="182"/>
        <c:overlap val="100"/>
        <c:axId val="383495"/>
        <c:axId val="1375239"/>
      </c:barChart>
      <c:valAx>
        <c:axId val="13752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Medalists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495"/>
        <c:crosses val="autoZero"/>
        <c:crossBetween val="between"/>
      </c:valAx>
      <c:catAx>
        <c:axId val="3834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Sport (Dominant 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23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Unexpected or Surprising Medal Wins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'Question-15'!$M$3</c:f>
              <c:strCache>
                <c:ptCount val="1"/>
                <c:pt idx="0">
                  <c:v>medalists</c:v>
                </c:pt>
              </c:strCache>
            </c:strRef>
          </c:tx>
          <c:spPr>
            <a:solidFill>
              <a:schemeClr val="accent1"/>
            </a:solidFill>
            <a:ln>
              <a:noFill/>
            </a:ln>
            <a:effectLst/>
          </c:spPr>
          <c:invertIfNegative val="0"/>
          <c:cat>
            <c:strRef>
              <c:f>'Question-15'!$L$4:$L$18</c:f>
              <c:strCache>
                <c:ptCount val="15"/>
                <c:pt idx="0">
                  <c:v>Argentina - Swimming</c:v>
                </c:pt>
                <c:pt idx="1">
                  <c:v>Australia - Wrestling</c:v>
                </c:pt>
                <c:pt idx="2">
                  <c:v>Austria - Cross Country Skiing</c:v>
                </c:pt>
                <c:pt idx="3">
                  <c:v>Austria - Speed Skating</c:v>
                </c:pt>
                <c:pt idx="4">
                  <c:v>Azerbaijan - Taekwondo</c:v>
                </c:pt>
                <c:pt idx="5">
                  <c:v>Bahamas - Sailing</c:v>
                </c:pt>
                <c:pt idx="6">
                  <c:v>Bahrain - Athletics</c:v>
                </c:pt>
                <c:pt idx="7">
                  <c:v>Belarus - Tennis</c:v>
                </c:pt>
                <c:pt idx="8">
                  <c:v>Belgium - Boxing</c:v>
                </c:pt>
                <c:pt idx="9">
                  <c:v>Belgium - Figure Skating</c:v>
                </c:pt>
                <c:pt idx="10">
                  <c:v>Belgium - Tennis</c:v>
                </c:pt>
                <c:pt idx="11">
                  <c:v>Belgium - Tug-Of-War</c:v>
                </c:pt>
                <c:pt idx="12">
                  <c:v>Brazil - Gymnastics</c:v>
                </c:pt>
                <c:pt idx="13">
                  <c:v>Bulgaria - Equestrianism</c:v>
                </c:pt>
                <c:pt idx="14">
                  <c:v>Bulgaria - Judo</c:v>
                </c:pt>
              </c:strCache>
            </c:strRef>
          </c:cat>
          <c:val>
            <c:numRef>
              <c:f>'Question-15'!$M$4:$M$18</c:f>
              <c:numCache>
                <c:formatCode>General</c:formatCode>
                <c:ptCount val="15"/>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numCache>
            </c:numRef>
          </c:val>
          <c:extLst>
            <c:ext xmlns:c16="http://schemas.microsoft.com/office/drawing/2014/chart" uri="{C3380CC4-5D6E-409C-BE32-E72D297353CC}">
              <c16:uniqueId val="{00000000-2B5B-42E1-A13C-455508D0CB2E}"/>
            </c:ext>
          </c:extLst>
        </c:ser>
        <c:dLbls>
          <c:showLegendKey val="0"/>
          <c:showVal val="0"/>
          <c:showCatName val="0"/>
          <c:showSerName val="0"/>
          <c:showPercent val="0"/>
          <c:showBubbleSize val="0"/>
        </c:dLbls>
        <c:gapWidth val="182"/>
        <c:axId val="46200327"/>
        <c:axId val="52880391"/>
      </c:barChart>
      <c:catAx>
        <c:axId val="462003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 - Sport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0391"/>
        <c:crosses val="autoZero"/>
        <c:auto val="1"/>
        <c:lblAlgn val="ctr"/>
        <c:lblOffset val="100"/>
        <c:noMultiLvlLbl val="0"/>
      </c:catAx>
      <c:valAx>
        <c:axId val="528803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Medalists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00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15 Regions by Olympic Participation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'Question-16'!$M$3</c:f>
              <c:strCache>
                <c:ptCount val="1"/>
                <c:pt idx="0">
                  <c:v>participation_change</c:v>
                </c:pt>
              </c:strCache>
            </c:strRef>
          </c:tx>
          <c:spPr>
            <a:solidFill>
              <a:srgbClr val="548235"/>
            </a:solidFill>
            <a:ln>
              <a:noFill/>
            </a:ln>
            <a:effectLst/>
          </c:spPr>
          <c:invertIfNegative val="0"/>
          <c:cat>
            <c:strRef>
              <c:f>'Question-16'!$H$4:$H$18</c:f>
              <c:strCache>
                <c:ptCount val="15"/>
                <c:pt idx="0">
                  <c:v>USA</c:v>
                </c:pt>
                <c:pt idx="1">
                  <c:v>Brazil</c:v>
                </c:pt>
                <c:pt idx="2">
                  <c:v>Australia</c:v>
                </c:pt>
                <c:pt idx="3">
                  <c:v>Germany</c:v>
                </c:pt>
                <c:pt idx="4">
                  <c:v>China</c:v>
                </c:pt>
                <c:pt idx="5">
                  <c:v>France</c:v>
                </c:pt>
                <c:pt idx="6">
                  <c:v>UK</c:v>
                </c:pt>
                <c:pt idx="7">
                  <c:v>Japan</c:v>
                </c:pt>
                <c:pt idx="8">
                  <c:v>Canada</c:v>
                </c:pt>
                <c:pt idx="9">
                  <c:v>Italy</c:v>
                </c:pt>
                <c:pt idx="10">
                  <c:v>Spain</c:v>
                </c:pt>
                <c:pt idx="11">
                  <c:v>Russia</c:v>
                </c:pt>
                <c:pt idx="12">
                  <c:v>Poland</c:v>
                </c:pt>
                <c:pt idx="13">
                  <c:v>Argentina</c:v>
                </c:pt>
                <c:pt idx="14">
                  <c:v>Ukraine</c:v>
                </c:pt>
              </c:strCache>
            </c:strRef>
          </c:cat>
          <c:val>
            <c:numRef>
              <c:f>'Question-16'!$M$4:$M$18</c:f>
              <c:numCache>
                <c:formatCode>General</c:formatCode>
                <c:ptCount val="15"/>
                <c:pt idx="0">
                  <c:v>540</c:v>
                </c:pt>
                <c:pt idx="1">
                  <c:v>463</c:v>
                </c:pt>
                <c:pt idx="2">
                  <c:v>421</c:v>
                </c:pt>
                <c:pt idx="3">
                  <c:v>404</c:v>
                </c:pt>
                <c:pt idx="4">
                  <c:v>391</c:v>
                </c:pt>
                <c:pt idx="5">
                  <c:v>384</c:v>
                </c:pt>
                <c:pt idx="6">
                  <c:v>355</c:v>
                </c:pt>
                <c:pt idx="7">
                  <c:v>333</c:v>
                </c:pt>
                <c:pt idx="8">
                  <c:v>307</c:v>
                </c:pt>
                <c:pt idx="9">
                  <c:v>302</c:v>
                </c:pt>
                <c:pt idx="10">
                  <c:v>302</c:v>
                </c:pt>
                <c:pt idx="11">
                  <c:v>286</c:v>
                </c:pt>
                <c:pt idx="12">
                  <c:v>233</c:v>
                </c:pt>
                <c:pt idx="13">
                  <c:v>214</c:v>
                </c:pt>
                <c:pt idx="14">
                  <c:v>212</c:v>
                </c:pt>
              </c:numCache>
            </c:numRef>
          </c:val>
          <c:extLst>
            <c:ext xmlns:c16="http://schemas.microsoft.com/office/drawing/2014/chart" uri="{C3380CC4-5D6E-409C-BE32-E72D297353CC}">
              <c16:uniqueId val="{00000000-EE41-442D-8424-49723DA4A7A6}"/>
            </c:ext>
          </c:extLst>
        </c:ser>
        <c:dLbls>
          <c:showLegendKey val="0"/>
          <c:showVal val="0"/>
          <c:showCatName val="0"/>
          <c:showSerName val="0"/>
          <c:showPercent val="0"/>
          <c:showBubbleSize val="0"/>
        </c:dLbls>
        <c:gapWidth val="182"/>
        <c:axId val="56605191"/>
        <c:axId val="63448071"/>
      </c:barChart>
      <c:catAx>
        <c:axId val="566051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48071"/>
        <c:crosses val="autoZero"/>
        <c:auto val="1"/>
        <c:lblAlgn val="ctr"/>
        <c:lblOffset val="100"/>
        <c:noMultiLvlLbl val="0"/>
      </c:catAx>
      <c:valAx>
        <c:axId val="634480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Participation Growth (Participants)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05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Sport-Region Medalist Combinations</a:t>
            </a:r>
          </a:p>
        </c:rich>
      </c:tx>
      <c:layout>
        <c:manualLayout>
          <c:xMode val="edge"/>
          <c:yMode val="edge"/>
          <c:x val="0.3063177335230523"/>
          <c:y val="1.114594218042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'Question-17'!$M$3</c:f>
              <c:strCache>
                <c:ptCount val="1"/>
                <c:pt idx="0">
                  <c:v>medalists</c:v>
                </c:pt>
              </c:strCache>
            </c:strRef>
          </c:tx>
          <c:spPr>
            <a:solidFill>
              <a:srgbClr val="7030A0"/>
            </a:solidFill>
            <a:ln w="25400">
              <a:noFill/>
            </a:ln>
            <a:effectLst/>
          </c:spPr>
          <c:invertIfNegative val="0"/>
          <c:cat>
            <c:strRef>
              <c:f>'Question-17'!$L$4:$L$23</c:f>
              <c:strCache>
                <c:ptCount val="20"/>
                <c:pt idx="0">
                  <c:v>Athletics - USA</c:v>
                </c:pt>
                <c:pt idx="1">
                  <c:v>Swimming - USA</c:v>
                </c:pt>
                <c:pt idx="2">
                  <c:v>Rowing - USA</c:v>
                </c:pt>
                <c:pt idx="3">
                  <c:v>Ice Hockey - Canada</c:v>
                </c:pt>
                <c:pt idx="4">
                  <c:v>Basketball - USA</c:v>
                </c:pt>
                <c:pt idx="5">
                  <c:v>Athletics - UK</c:v>
                </c:pt>
                <c:pt idx="6">
                  <c:v>Ice Hockey - USA</c:v>
                </c:pt>
                <c:pt idx="7">
                  <c:v>Rowing - UK</c:v>
                </c:pt>
                <c:pt idx="8">
                  <c:v>Rowing - Germany</c:v>
                </c:pt>
                <c:pt idx="9">
                  <c:v>Swimming - Australia</c:v>
                </c:pt>
                <c:pt idx="10">
                  <c:v>Athletics - Soviet Union</c:v>
                </c:pt>
                <c:pt idx="11">
                  <c:v>Ice Hockey - Sweden</c:v>
                </c:pt>
                <c:pt idx="12">
                  <c:v>Hockey - Netherlands</c:v>
                </c:pt>
                <c:pt idx="13">
                  <c:v>Fencing - France</c:v>
                </c:pt>
                <c:pt idx="14">
                  <c:v>Rowing - Canada</c:v>
                </c:pt>
                <c:pt idx="15">
                  <c:v>Fencing - Italy</c:v>
                </c:pt>
                <c:pt idx="16">
                  <c:v>Hockey - Germany</c:v>
                </c:pt>
                <c:pt idx="17">
                  <c:v>Rowing - East Germany</c:v>
                </c:pt>
                <c:pt idx="18">
                  <c:v>Athletics - Germany</c:v>
                </c:pt>
                <c:pt idx="19">
                  <c:v>Hockey - UK</c:v>
                </c:pt>
              </c:strCache>
            </c:strRef>
          </c:cat>
          <c:val>
            <c:numRef>
              <c:f>'Question-17'!$M$4:$M$23</c:f>
              <c:numCache>
                <c:formatCode>General</c:formatCode>
                <c:ptCount val="20"/>
                <c:pt idx="0">
                  <c:v>676</c:v>
                </c:pt>
                <c:pt idx="1">
                  <c:v>479</c:v>
                </c:pt>
                <c:pt idx="2">
                  <c:v>306</c:v>
                </c:pt>
                <c:pt idx="3">
                  <c:v>276</c:v>
                </c:pt>
                <c:pt idx="4">
                  <c:v>262</c:v>
                </c:pt>
                <c:pt idx="5">
                  <c:v>245</c:v>
                </c:pt>
                <c:pt idx="6">
                  <c:v>212</c:v>
                </c:pt>
                <c:pt idx="7">
                  <c:v>210</c:v>
                </c:pt>
                <c:pt idx="8">
                  <c:v>194</c:v>
                </c:pt>
                <c:pt idx="9">
                  <c:v>187</c:v>
                </c:pt>
                <c:pt idx="10">
                  <c:v>183</c:v>
                </c:pt>
                <c:pt idx="11">
                  <c:v>183</c:v>
                </c:pt>
                <c:pt idx="12">
                  <c:v>173</c:v>
                </c:pt>
                <c:pt idx="13">
                  <c:v>167</c:v>
                </c:pt>
                <c:pt idx="14">
                  <c:v>162</c:v>
                </c:pt>
                <c:pt idx="15">
                  <c:v>161</c:v>
                </c:pt>
                <c:pt idx="16">
                  <c:v>158</c:v>
                </c:pt>
                <c:pt idx="17">
                  <c:v>149</c:v>
                </c:pt>
                <c:pt idx="18">
                  <c:v>147</c:v>
                </c:pt>
                <c:pt idx="19">
                  <c:v>139</c:v>
                </c:pt>
              </c:numCache>
            </c:numRef>
          </c:val>
          <c:extLst>
            <c:ext xmlns:c16="http://schemas.microsoft.com/office/drawing/2014/chart" uri="{C3380CC4-5D6E-409C-BE32-E72D297353CC}">
              <c16:uniqueId val="{00000000-B2EE-4266-8FCE-AFD8B846C57D}"/>
            </c:ext>
          </c:extLst>
        </c:ser>
        <c:dLbls>
          <c:showLegendKey val="0"/>
          <c:showVal val="0"/>
          <c:showCatName val="0"/>
          <c:showSerName val="0"/>
          <c:showPercent val="0"/>
          <c:showBubbleSize val="0"/>
        </c:dLbls>
        <c:gapWidth val="150"/>
        <c:axId val="46346759"/>
        <c:axId val="46348807"/>
      </c:barChart>
      <c:catAx>
        <c:axId val="463467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Sport – 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8807"/>
        <c:crosses val="autoZero"/>
        <c:auto val="1"/>
        <c:lblAlgn val="ctr"/>
        <c:lblOffset val="100"/>
        <c:noMultiLvlLbl val="0"/>
      </c:catAx>
      <c:valAx>
        <c:axId val="46348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Medalists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6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15 Regions by Overall Medal Tally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'Question-18'!$I$3</c:f>
              <c:strCache>
                <c:ptCount val="1"/>
                <c:pt idx="0">
                  <c:v>total_medals</c:v>
                </c:pt>
              </c:strCache>
            </c:strRef>
          </c:tx>
          <c:spPr>
            <a:solidFill>
              <a:srgbClr val="ED7D31"/>
            </a:solidFill>
            <a:ln>
              <a:noFill/>
            </a:ln>
            <a:effectLst/>
          </c:spPr>
          <c:invertIfNegative val="0"/>
          <c:cat>
            <c:strRef>
              <c:f>'Question-18'!$H$4:$H$17</c:f>
              <c:strCache>
                <c:ptCount val="14"/>
                <c:pt idx="0">
                  <c:v>USA</c:v>
                </c:pt>
                <c:pt idx="1">
                  <c:v>Soviet Union</c:v>
                </c:pt>
                <c:pt idx="2">
                  <c:v>Germany</c:v>
                </c:pt>
                <c:pt idx="3">
                  <c:v>UK</c:v>
                </c:pt>
                <c:pt idx="4">
                  <c:v>France</c:v>
                </c:pt>
                <c:pt idx="5">
                  <c:v>Italy</c:v>
                </c:pt>
                <c:pt idx="6">
                  <c:v>Russia</c:v>
                </c:pt>
                <c:pt idx="7">
                  <c:v>Sweden</c:v>
                </c:pt>
                <c:pt idx="8">
                  <c:v>East Germany</c:v>
                </c:pt>
                <c:pt idx="9">
                  <c:v>China</c:v>
                </c:pt>
                <c:pt idx="10">
                  <c:v>Australia</c:v>
                </c:pt>
                <c:pt idx="11">
                  <c:v>Hungary</c:v>
                </c:pt>
                <c:pt idx="12">
                  <c:v>Japan</c:v>
                </c:pt>
                <c:pt idx="13">
                  <c:v>Canada</c:v>
                </c:pt>
              </c:strCache>
            </c:strRef>
          </c:cat>
          <c:val>
            <c:numRef>
              <c:f>'Question-18'!$I$4:$I$17</c:f>
              <c:numCache>
                <c:formatCode>General</c:formatCode>
                <c:ptCount val="14"/>
                <c:pt idx="0">
                  <c:v>2752</c:v>
                </c:pt>
                <c:pt idx="1">
                  <c:v>1309</c:v>
                </c:pt>
                <c:pt idx="2">
                  <c:v>1195</c:v>
                </c:pt>
                <c:pt idx="3">
                  <c:v>903</c:v>
                </c:pt>
                <c:pt idx="4">
                  <c:v>859</c:v>
                </c:pt>
                <c:pt idx="5">
                  <c:v>722</c:v>
                </c:pt>
                <c:pt idx="6">
                  <c:v>687</c:v>
                </c:pt>
                <c:pt idx="7">
                  <c:v>657</c:v>
                </c:pt>
                <c:pt idx="8">
                  <c:v>628</c:v>
                </c:pt>
                <c:pt idx="9">
                  <c:v>597</c:v>
                </c:pt>
                <c:pt idx="10">
                  <c:v>536</c:v>
                </c:pt>
                <c:pt idx="11">
                  <c:v>515</c:v>
                </c:pt>
                <c:pt idx="12">
                  <c:v>483</c:v>
                </c:pt>
                <c:pt idx="13">
                  <c:v>475</c:v>
                </c:pt>
              </c:numCache>
            </c:numRef>
          </c:val>
          <c:extLst>
            <c:ext xmlns:c16="http://schemas.microsoft.com/office/drawing/2014/chart" uri="{C3380CC4-5D6E-409C-BE32-E72D297353CC}">
              <c16:uniqueId val="{00000000-F666-4A55-8D0F-126F301D976F}"/>
            </c:ext>
          </c:extLst>
        </c:ser>
        <c:dLbls>
          <c:showLegendKey val="0"/>
          <c:showVal val="0"/>
          <c:showCatName val="0"/>
          <c:showSerName val="0"/>
          <c:showPercent val="0"/>
          <c:showBubbleSize val="0"/>
        </c:dLbls>
        <c:gapWidth val="150"/>
        <c:axId val="1908073991"/>
        <c:axId val="1908167175"/>
      </c:barChart>
      <c:catAx>
        <c:axId val="1908073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167175"/>
        <c:crosses val="autoZero"/>
        <c:auto val="1"/>
        <c:lblAlgn val="ctr"/>
        <c:lblOffset val="100"/>
        <c:noMultiLvlLbl val="0"/>
      </c:catAx>
      <c:valAx>
        <c:axId val="1908167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Medals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073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15</xdr:col>
      <xdr:colOff>9525</xdr:colOff>
      <xdr:row>1</xdr:row>
      <xdr:rowOff>142875</xdr:rowOff>
    </xdr:from>
    <xdr:to>
      <xdr:col>18</xdr:col>
      <xdr:colOff>352425</xdr:colOff>
      <xdr:row>10</xdr:row>
      <xdr:rowOff>142875</xdr:rowOff>
    </xdr:to>
    <xdr:sp macro="" textlink="">
      <xdr:nvSpPr>
        <xdr:cNvPr id="2" name="TextBox 1">
          <a:extLst>
            <a:ext uri="{FF2B5EF4-FFF2-40B4-BE49-F238E27FC236}">
              <a16:creationId xmlns:a16="http://schemas.microsoft.com/office/drawing/2014/main" id="{37CE08E2-1680-7CC5-E78C-E2C7BD883916}"/>
            </a:ext>
          </a:extLst>
        </xdr:cNvPr>
        <xdr:cNvSpPr txBox="1"/>
      </xdr:nvSpPr>
      <xdr:spPr>
        <a:xfrm>
          <a:off x="10287000" y="333375"/>
          <a:ext cx="2171700" cy="17145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a:latin typeface="+mn-lt"/>
              <a:ea typeface="+mn-lt"/>
              <a:cs typeface="+mn-lt"/>
            </a:rPr>
            <a:t>Most Olympic Games were held at four-year intervals. However, some exceptions occurred, such as the 1906 Games after 2 years, while the 1920 Games occurred after an 8-year gap and the 1948 Games after a 12-year gap, indicating interruptions in the Olympic schedule.</a:t>
          </a:r>
        </a:p>
      </xdr:txBody>
    </xdr:sp>
    <xdr:clientData/>
  </xdr:twoCellAnchor>
  <xdr:twoCellAnchor>
    <xdr:from>
      <xdr:col>12</xdr:col>
      <xdr:colOff>504825</xdr:colOff>
      <xdr:row>12</xdr:row>
      <xdr:rowOff>19050</xdr:rowOff>
    </xdr:from>
    <xdr:to>
      <xdr:col>21</xdr:col>
      <xdr:colOff>352425</xdr:colOff>
      <xdr:row>26</xdr:row>
      <xdr:rowOff>95250</xdr:rowOff>
    </xdr:to>
    <xdr:graphicFrame macro="">
      <xdr:nvGraphicFramePr>
        <xdr:cNvPr id="4" name="Chart 3">
          <a:extLst>
            <a:ext uri="{FF2B5EF4-FFF2-40B4-BE49-F238E27FC236}">
              <a16:creationId xmlns:a16="http://schemas.microsoft.com/office/drawing/2014/main" id="{4E8453EE-1AA9-B276-6847-53143949F38B}"/>
            </a:ext>
            <a:ext uri="{147F2762-F138-4A5C-976F-8EAC2B608ADB}">
              <a16:predDERef xmlns:a16="http://schemas.microsoft.com/office/drawing/2014/main" pred="{37CE08E2-1680-7CC5-E78C-E2C7BD883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28575</xdr:colOff>
      <xdr:row>2</xdr:row>
      <xdr:rowOff>9525</xdr:rowOff>
    </xdr:from>
    <xdr:to>
      <xdr:col>15</xdr:col>
      <xdr:colOff>514350</xdr:colOff>
      <xdr:row>8</xdr:row>
      <xdr:rowOff>19050</xdr:rowOff>
    </xdr:to>
    <xdr:sp macro="" textlink="">
      <xdr:nvSpPr>
        <xdr:cNvPr id="2" name="TextBox 1">
          <a:extLst>
            <a:ext uri="{FF2B5EF4-FFF2-40B4-BE49-F238E27FC236}">
              <a16:creationId xmlns:a16="http://schemas.microsoft.com/office/drawing/2014/main" id="{81DAD8AB-A4C7-2568-483B-031CFB8A80B9}"/>
            </a:ext>
          </a:extLst>
        </xdr:cNvPr>
        <xdr:cNvSpPr txBox="1"/>
      </xdr:nvSpPr>
      <xdr:spPr>
        <a:xfrm>
          <a:off x="7467600" y="390525"/>
          <a:ext cx="1704975" cy="11525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a:latin typeface="+mn-lt"/>
              <a:ea typeface="+mn-lt"/>
              <a:cs typeface="+mn-lt"/>
            </a:rPr>
            <a:t>Most Olympic editions were held at four-year intervals, while larger gaps occurred during periods when the Games were interrupted.</a:t>
          </a:r>
        </a:p>
      </xdr:txBody>
    </xdr:sp>
    <xdr:clientData/>
  </xdr:twoCellAnchor>
  <xdr:twoCellAnchor>
    <xdr:from>
      <xdr:col>14</xdr:col>
      <xdr:colOff>523875</xdr:colOff>
      <xdr:row>8</xdr:row>
      <xdr:rowOff>152400</xdr:rowOff>
    </xdr:from>
    <xdr:to>
      <xdr:col>27</xdr:col>
      <xdr:colOff>114300</xdr:colOff>
      <xdr:row>26</xdr:row>
      <xdr:rowOff>0</xdr:rowOff>
    </xdr:to>
    <xdr:graphicFrame macro="">
      <xdr:nvGraphicFramePr>
        <xdr:cNvPr id="9" name="Chart 8">
          <a:extLst>
            <a:ext uri="{FF2B5EF4-FFF2-40B4-BE49-F238E27FC236}">
              <a16:creationId xmlns:a16="http://schemas.microsoft.com/office/drawing/2014/main" id="{74CAB10A-DD02-C055-2DFA-F88F536303A1}"/>
            </a:ext>
            <a:ext uri="{147F2762-F138-4A5C-976F-8EAC2B608ADB}">
              <a16:predDERef xmlns:a16="http://schemas.microsoft.com/office/drawing/2014/main" pred="{81DAD8AB-A4C7-2568-483B-031CFB8A80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17</xdr:col>
      <xdr:colOff>47625</xdr:colOff>
      <xdr:row>2</xdr:row>
      <xdr:rowOff>38100</xdr:rowOff>
    </xdr:from>
    <xdr:to>
      <xdr:col>20</xdr:col>
      <xdr:colOff>142875</xdr:colOff>
      <xdr:row>11</xdr:row>
      <xdr:rowOff>57150</xdr:rowOff>
    </xdr:to>
    <xdr:sp macro="" textlink="">
      <xdr:nvSpPr>
        <xdr:cNvPr id="2" name="TextBox 1">
          <a:extLst>
            <a:ext uri="{FF2B5EF4-FFF2-40B4-BE49-F238E27FC236}">
              <a16:creationId xmlns:a16="http://schemas.microsoft.com/office/drawing/2014/main" id="{B39814DA-6D46-22CF-0E44-2E755D2C496A}"/>
            </a:ext>
          </a:extLst>
        </xdr:cNvPr>
        <xdr:cNvSpPr txBox="1"/>
      </xdr:nvSpPr>
      <xdr:spPr>
        <a:xfrm>
          <a:off x="10477500" y="419100"/>
          <a:ext cx="1924050" cy="17335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a:latin typeface="+mn-lt"/>
              <a:ea typeface="+mn-lt"/>
              <a:cs typeface="+mn-lt"/>
            </a:rPr>
            <a:t>Participation in the Olympic Games has generally increased over time, from only 72 participants in 1896 to several thousand in later editions. This indicates the growing scale and international participation of the Olympics.</a:t>
          </a:r>
        </a:p>
      </xdr:txBody>
    </xdr:sp>
    <xdr:clientData/>
  </xdr:twoCellAnchor>
  <xdr:twoCellAnchor>
    <xdr:from>
      <xdr:col>14</xdr:col>
      <xdr:colOff>200025</xdr:colOff>
      <xdr:row>12</xdr:row>
      <xdr:rowOff>9525</xdr:rowOff>
    </xdr:from>
    <xdr:to>
      <xdr:col>32</xdr:col>
      <xdr:colOff>57150</xdr:colOff>
      <xdr:row>29</xdr:row>
      <xdr:rowOff>161925</xdr:rowOff>
    </xdr:to>
    <xdr:graphicFrame macro="">
      <xdr:nvGraphicFramePr>
        <xdr:cNvPr id="3" name="Chart 2">
          <a:extLst>
            <a:ext uri="{FF2B5EF4-FFF2-40B4-BE49-F238E27FC236}">
              <a16:creationId xmlns:a16="http://schemas.microsoft.com/office/drawing/2014/main" id="{5CFC9C20-A176-CD5E-43E3-1BDA8AC00D1B}"/>
            </a:ext>
            <a:ext uri="{147F2762-F138-4A5C-976F-8EAC2B608ADB}">
              <a16:predDERef xmlns:a16="http://schemas.microsoft.com/office/drawing/2014/main" pred="{B39814DA-6D46-22CF-0E44-2E755D2C49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85725</xdr:colOff>
      <xdr:row>2</xdr:row>
      <xdr:rowOff>19050</xdr:rowOff>
    </xdr:from>
    <xdr:to>
      <xdr:col>16</xdr:col>
      <xdr:colOff>504825</xdr:colOff>
      <xdr:row>11</xdr:row>
      <xdr:rowOff>0</xdr:rowOff>
    </xdr:to>
    <xdr:sp macro="" textlink="">
      <xdr:nvSpPr>
        <xdr:cNvPr id="2" name="TextBox 1">
          <a:extLst>
            <a:ext uri="{FF2B5EF4-FFF2-40B4-BE49-F238E27FC236}">
              <a16:creationId xmlns:a16="http://schemas.microsoft.com/office/drawing/2014/main" id="{B52FE3AE-3845-61FD-F61F-DC2A3A6FC2D3}"/>
            </a:ext>
          </a:extLst>
        </xdr:cNvPr>
        <xdr:cNvSpPr txBox="1"/>
      </xdr:nvSpPr>
      <xdr:spPr>
        <a:xfrm>
          <a:off x="7934325" y="400050"/>
          <a:ext cx="2857500" cy="16954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a:latin typeface="+mn-lt"/>
              <a:ea typeface="+mn-lt"/>
              <a:cs typeface="+mn-lt"/>
            </a:rPr>
            <a:t>The Olympic program has evolved over time by introducing newer sports. Rugby Sevens is the most recently introduced sport in the dataset, first appearing in 2016. Triathlon, Trampolining and Taekwondo first appeared in 2000, while Snowboarding appeared in 1998. This shows that the Olympics have expanded over time to include newer and more diverse sporting disciplines</a:t>
          </a:r>
        </a:p>
      </xdr:txBody>
    </xdr:sp>
    <xdr:clientData/>
  </xdr:twoCellAnchor>
  <xdr:twoCellAnchor>
    <xdr:from>
      <xdr:col>9</xdr:col>
      <xdr:colOff>304800</xdr:colOff>
      <xdr:row>12</xdr:row>
      <xdr:rowOff>19050</xdr:rowOff>
    </xdr:from>
    <xdr:to>
      <xdr:col>17</xdr:col>
      <xdr:colOff>371475</xdr:colOff>
      <xdr:row>32</xdr:row>
      <xdr:rowOff>66675</xdr:rowOff>
    </xdr:to>
    <xdr:graphicFrame macro="">
      <xdr:nvGraphicFramePr>
        <xdr:cNvPr id="5" name="Chart 4">
          <a:extLst>
            <a:ext uri="{FF2B5EF4-FFF2-40B4-BE49-F238E27FC236}">
              <a16:creationId xmlns:a16="http://schemas.microsoft.com/office/drawing/2014/main" id="{A3229F91-7124-4D42-585F-699C162929F8}"/>
            </a:ext>
            <a:ext uri="{147F2762-F138-4A5C-976F-8EAC2B608ADB}">
              <a16:predDERef xmlns:a16="http://schemas.microsoft.com/office/drawing/2014/main" pred="{B52FE3AE-3845-61FD-F61F-DC2A3A6FC2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57150</xdr:colOff>
      <xdr:row>1</xdr:row>
      <xdr:rowOff>142875</xdr:rowOff>
    </xdr:from>
    <xdr:to>
      <xdr:col>15</xdr:col>
      <xdr:colOff>561975</xdr:colOff>
      <xdr:row>12</xdr:row>
      <xdr:rowOff>28575</xdr:rowOff>
    </xdr:to>
    <xdr:sp macro="" textlink="">
      <xdr:nvSpPr>
        <xdr:cNvPr id="2" name="TextBox 1">
          <a:extLst>
            <a:ext uri="{FF2B5EF4-FFF2-40B4-BE49-F238E27FC236}">
              <a16:creationId xmlns:a16="http://schemas.microsoft.com/office/drawing/2014/main" id="{C34A4BB3-23A3-0205-A0FA-62D93767E80D}"/>
            </a:ext>
          </a:extLst>
        </xdr:cNvPr>
        <xdr:cNvSpPr txBox="1"/>
      </xdr:nvSpPr>
      <xdr:spPr>
        <a:xfrm>
          <a:off x="8467725" y="333375"/>
          <a:ext cx="2333625" cy="19812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a:latin typeface="+mn-lt"/>
              <a:ea typeface="+mn-lt"/>
              <a:cs typeface="+mn-lt"/>
            </a:rPr>
            <a:t>Sports such as Athletics, Swimming, and Gymnastics have consistently attracted high participation over the years, indicating their strong popularity in the Olympics. The number of participants in several sports has increased as the Olympic Games expanded, while newer sports have gradually gained participation after their introduction.</a:t>
          </a:r>
        </a:p>
      </xdr:txBody>
    </xdr:sp>
    <xdr:clientData/>
  </xdr:twoCellAnchor>
  <xdr:twoCellAnchor>
    <xdr:from>
      <xdr:col>18</xdr:col>
      <xdr:colOff>238125</xdr:colOff>
      <xdr:row>13</xdr:row>
      <xdr:rowOff>161925</xdr:rowOff>
    </xdr:from>
    <xdr:to>
      <xdr:col>26</xdr:col>
      <xdr:colOff>838200</xdr:colOff>
      <xdr:row>37</xdr:row>
      <xdr:rowOff>123825</xdr:rowOff>
    </xdr:to>
    <xdr:graphicFrame macro="">
      <xdr:nvGraphicFramePr>
        <xdr:cNvPr id="3" name="Chart 2">
          <a:extLst>
            <a:ext uri="{FF2B5EF4-FFF2-40B4-BE49-F238E27FC236}">
              <a16:creationId xmlns:a16="http://schemas.microsoft.com/office/drawing/2014/main" id="{D662D3AF-ADB2-F20B-19F1-C08231AD4E91}"/>
            </a:ext>
            <a:ext uri="{147F2762-F138-4A5C-976F-8EAC2B608ADB}">
              <a16:predDERef xmlns:a16="http://schemas.microsoft.com/office/drawing/2014/main" pred="{C34A4BB3-23A3-0205-A0FA-62D93767E8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14</xdr:col>
      <xdr:colOff>57150</xdr:colOff>
      <xdr:row>1</xdr:row>
      <xdr:rowOff>142875</xdr:rowOff>
    </xdr:from>
    <xdr:to>
      <xdr:col>17</xdr:col>
      <xdr:colOff>561975</xdr:colOff>
      <xdr:row>10</xdr:row>
      <xdr:rowOff>85725</xdr:rowOff>
    </xdr:to>
    <xdr:sp macro="" textlink="">
      <xdr:nvSpPr>
        <xdr:cNvPr id="2" name="TextBox 1">
          <a:extLst>
            <a:ext uri="{FF2B5EF4-FFF2-40B4-BE49-F238E27FC236}">
              <a16:creationId xmlns:a16="http://schemas.microsoft.com/office/drawing/2014/main" id="{7D3B617D-01EF-429D-A384-E39FCE5AF071}"/>
            </a:ext>
          </a:extLst>
        </xdr:cNvPr>
        <xdr:cNvSpPr txBox="1"/>
      </xdr:nvSpPr>
      <xdr:spPr>
        <a:xfrm>
          <a:off x="9591675" y="333375"/>
          <a:ext cx="2333625" cy="16573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a:latin typeface="+mn-lt"/>
              <a:ea typeface="+mn-lt"/>
              <a:cs typeface="+mn-lt"/>
            </a:rPr>
            <a:t>Five sports show participation from only one region in the dataset. Croquet is associated with France, Rackets with the UK, Roque with the USA, Basque Pelota with Spain, and Aeronautics with Switzerland. This suggests that some sports had strong regional associations or limited international participation.</a:t>
          </a:r>
        </a:p>
      </xdr:txBody>
    </xdr:sp>
    <xdr:clientData/>
  </xdr:twoCellAnchor>
  <xdr:twoCellAnchor>
    <xdr:from>
      <xdr:col>7</xdr:col>
      <xdr:colOff>1533525</xdr:colOff>
      <xdr:row>10</xdr:row>
      <xdr:rowOff>66675</xdr:rowOff>
    </xdr:from>
    <xdr:to>
      <xdr:col>13</xdr:col>
      <xdr:colOff>228600</xdr:colOff>
      <xdr:row>26</xdr:row>
      <xdr:rowOff>180975</xdr:rowOff>
    </xdr:to>
    <xdr:graphicFrame macro="">
      <xdr:nvGraphicFramePr>
        <xdr:cNvPr id="3" name="Chart 2">
          <a:extLst>
            <a:ext uri="{FF2B5EF4-FFF2-40B4-BE49-F238E27FC236}">
              <a16:creationId xmlns:a16="http://schemas.microsoft.com/office/drawing/2014/main" id="{C0A1E0A5-23AC-FE96-0ABA-2761C881DC5D}"/>
            </a:ext>
            <a:ext uri="{147F2762-F138-4A5C-976F-8EAC2B608ADB}">
              <a16:predDERef xmlns:a16="http://schemas.microsoft.com/office/drawing/2014/main" pred="{7D3B617D-01EF-429D-A384-E39FCE5AF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15</xdr:col>
      <xdr:colOff>57150</xdr:colOff>
      <xdr:row>1</xdr:row>
      <xdr:rowOff>142875</xdr:rowOff>
    </xdr:from>
    <xdr:to>
      <xdr:col>18</xdr:col>
      <xdr:colOff>561975</xdr:colOff>
      <xdr:row>12</xdr:row>
      <xdr:rowOff>28575</xdr:rowOff>
    </xdr:to>
    <xdr:sp macro="" textlink="">
      <xdr:nvSpPr>
        <xdr:cNvPr id="2" name="TextBox 1">
          <a:extLst>
            <a:ext uri="{FF2B5EF4-FFF2-40B4-BE49-F238E27FC236}">
              <a16:creationId xmlns:a16="http://schemas.microsoft.com/office/drawing/2014/main" id="{F41BF2A9-BAE5-493A-8A6D-6CFEC1AD9E5F}"/>
            </a:ext>
          </a:extLst>
        </xdr:cNvPr>
        <xdr:cNvSpPr txBox="1"/>
      </xdr:nvSpPr>
      <xdr:spPr>
        <a:xfrm>
          <a:off x="9591675" y="333375"/>
          <a:ext cx="2333625" cy="19812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a:latin typeface="+mn-lt"/>
              <a:ea typeface="+mn-lt"/>
              <a:cs typeface="+mn-lt"/>
            </a:rPr>
            <a:t>The number of events is not equally distributed across genders for all sports. Several sports have substantially more men's events than women's events, such as Archery and Alpine Skiing. Some sports, including Aeronautics, Alpinism, and Art Competitions, have only mixed events. This indicates that gender representation varies considerably across Olympic sports.</a:t>
          </a:r>
        </a:p>
      </xdr:txBody>
    </xdr:sp>
    <xdr:clientData/>
  </xdr:twoCellAnchor>
  <xdr:twoCellAnchor>
    <xdr:from>
      <xdr:col>14</xdr:col>
      <xdr:colOff>561975</xdr:colOff>
      <xdr:row>12</xdr:row>
      <xdr:rowOff>180975</xdr:rowOff>
    </xdr:from>
    <xdr:to>
      <xdr:col>23</xdr:col>
      <xdr:colOff>133350</xdr:colOff>
      <xdr:row>35</xdr:row>
      <xdr:rowOff>0</xdr:rowOff>
    </xdr:to>
    <xdr:graphicFrame macro="">
      <xdr:nvGraphicFramePr>
        <xdr:cNvPr id="5" name="Chart 4">
          <a:extLst>
            <a:ext uri="{FF2B5EF4-FFF2-40B4-BE49-F238E27FC236}">
              <a16:creationId xmlns:a16="http://schemas.microsoft.com/office/drawing/2014/main" id="{B37B6AFA-BB43-FFBB-5969-754C50342EB2}"/>
            </a:ext>
            <a:ext uri="{147F2762-F138-4A5C-976F-8EAC2B608ADB}">
              <a16:predDERef xmlns:a16="http://schemas.microsoft.com/office/drawing/2014/main" pred="{F41BF2A9-BAE5-493A-8A6D-6CFEC1AD9E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14</xdr:col>
      <xdr:colOff>57150</xdr:colOff>
      <xdr:row>1</xdr:row>
      <xdr:rowOff>142875</xdr:rowOff>
    </xdr:from>
    <xdr:to>
      <xdr:col>17</xdr:col>
      <xdr:colOff>561975</xdr:colOff>
      <xdr:row>7</xdr:row>
      <xdr:rowOff>85725</xdr:rowOff>
    </xdr:to>
    <xdr:sp macro="" textlink="">
      <xdr:nvSpPr>
        <xdr:cNvPr id="2" name="TextBox 1">
          <a:extLst>
            <a:ext uri="{FF2B5EF4-FFF2-40B4-BE49-F238E27FC236}">
              <a16:creationId xmlns:a16="http://schemas.microsoft.com/office/drawing/2014/main" id="{5EB5CD5A-1AE3-426E-842E-0BCA1B6019A2}"/>
            </a:ext>
          </a:extLst>
        </xdr:cNvPr>
        <xdr:cNvSpPr txBox="1"/>
      </xdr:nvSpPr>
      <xdr:spPr>
        <a:xfrm>
          <a:off x="10677525" y="333375"/>
          <a:ext cx="2333625" cy="10858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a:latin typeface="+mn-lt"/>
              <a:ea typeface="+mn-lt"/>
              <a:cs typeface="+mn-lt"/>
            </a:rPr>
            <a:t>New Olympic events continued to be introduced in recent editions. The highest number of new events was introduced in 2012 (14), followed by 2014 (12), while the number declined to 5 in 2016</a:t>
          </a:r>
        </a:p>
      </xdr:txBody>
    </xdr:sp>
    <xdr:clientData/>
  </xdr:twoCellAnchor>
  <xdr:twoCellAnchor>
    <xdr:from>
      <xdr:col>9</xdr:col>
      <xdr:colOff>1162050</xdr:colOff>
      <xdr:row>12</xdr:row>
      <xdr:rowOff>104775</xdr:rowOff>
    </xdr:from>
    <xdr:to>
      <xdr:col>16</xdr:col>
      <xdr:colOff>419100</xdr:colOff>
      <xdr:row>26</xdr:row>
      <xdr:rowOff>180975</xdr:rowOff>
    </xdr:to>
    <xdr:graphicFrame macro="">
      <xdr:nvGraphicFramePr>
        <xdr:cNvPr id="5" name="Chart 4">
          <a:extLst>
            <a:ext uri="{FF2B5EF4-FFF2-40B4-BE49-F238E27FC236}">
              <a16:creationId xmlns:a16="http://schemas.microsoft.com/office/drawing/2014/main" id="{3ED94975-1076-9852-5992-7F6E998A774E}"/>
            </a:ext>
            <a:ext uri="{147F2762-F138-4A5C-976F-8EAC2B608ADB}">
              <a16:predDERef xmlns:a16="http://schemas.microsoft.com/office/drawing/2014/main" pred="{5EB5CD5A-1AE3-426E-842E-0BCA1B6019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15</xdr:col>
      <xdr:colOff>57150</xdr:colOff>
      <xdr:row>1</xdr:row>
      <xdr:rowOff>142875</xdr:rowOff>
    </xdr:from>
    <xdr:to>
      <xdr:col>18</xdr:col>
      <xdr:colOff>561975</xdr:colOff>
      <xdr:row>11</xdr:row>
      <xdr:rowOff>19050</xdr:rowOff>
    </xdr:to>
    <xdr:sp macro="" textlink="">
      <xdr:nvSpPr>
        <xdr:cNvPr id="2" name="TextBox 1">
          <a:extLst>
            <a:ext uri="{FF2B5EF4-FFF2-40B4-BE49-F238E27FC236}">
              <a16:creationId xmlns:a16="http://schemas.microsoft.com/office/drawing/2014/main" id="{909A8462-3BF4-4B32-BB90-24DD8C891A5B}"/>
            </a:ext>
          </a:extLst>
        </xdr:cNvPr>
        <xdr:cNvSpPr txBox="1"/>
      </xdr:nvSpPr>
      <xdr:spPr>
        <a:xfrm>
          <a:off x="12668250" y="333375"/>
          <a:ext cx="2333625" cy="17811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a:latin typeface="+mn-lt"/>
              <a:ea typeface="+mn-lt"/>
              <a:cs typeface="+mn-lt"/>
            </a:rPr>
            <a:t>The analysis identified 451 events that were no longer present in the latest Olympic year of the dataset. This indicates that many events have been discontinued, removed, or changed over time as the Olympic programme evolved. Historical examples include certain figure skating, ice hockey and luge events that were last recorded in 2014.</a:t>
          </a:r>
        </a:p>
      </xdr:txBody>
    </xdr:sp>
    <xdr:clientData/>
  </xdr:twoCellAnchor>
  <xdr:twoCellAnchor>
    <xdr:from>
      <xdr:col>14</xdr:col>
      <xdr:colOff>485775</xdr:colOff>
      <xdr:row>16</xdr:row>
      <xdr:rowOff>9525</xdr:rowOff>
    </xdr:from>
    <xdr:to>
      <xdr:col>31</xdr:col>
      <xdr:colOff>390525</xdr:colOff>
      <xdr:row>40</xdr:row>
      <xdr:rowOff>114300</xdr:rowOff>
    </xdr:to>
    <xdr:graphicFrame macro="">
      <xdr:nvGraphicFramePr>
        <xdr:cNvPr id="5" name="Chart 4">
          <a:extLst>
            <a:ext uri="{FF2B5EF4-FFF2-40B4-BE49-F238E27FC236}">
              <a16:creationId xmlns:a16="http://schemas.microsoft.com/office/drawing/2014/main" id="{C28DED60-9689-4D1F-47E7-2D516F5EEF57}"/>
            </a:ext>
            <a:ext uri="{147F2762-F138-4A5C-976F-8EAC2B608ADB}">
              <a16:predDERef xmlns:a16="http://schemas.microsoft.com/office/drawing/2014/main" pred="{909A8462-3BF4-4B32-BB90-24DD8C891A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13</xdr:col>
      <xdr:colOff>57150</xdr:colOff>
      <xdr:row>1</xdr:row>
      <xdr:rowOff>142875</xdr:rowOff>
    </xdr:from>
    <xdr:to>
      <xdr:col>16</xdr:col>
      <xdr:colOff>561975</xdr:colOff>
      <xdr:row>10</xdr:row>
      <xdr:rowOff>142875</xdr:rowOff>
    </xdr:to>
    <xdr:sp macro="" textlink="">
      <xdr:nvSpPr>
        <xdr:cNvPr id="2" name="TextBox 1">
          <a:extLst>
            <a:ext uri="{FF2B5EF4-FFF2-40B4-BE49-F238E27FC236}">
              <a16:creationId xmlns:a16="http://schemas.microsoft.com/office/drawing/2014/main" id="{68DCD0CE-0FBE-4D33-A7BB-10A6EA6B1984}"/>
            </a:ext>
          </a:extLst>
        </xdr:cNvPr>
        <xdr:cNvSpPr txBox="1"/>
      </xdr:nvSpPr>
      <xdr:spPr>
        <a:xfrm>
          <a:off x="9734550" y="333375"/>
          <a:ext cx="2333625" cy="17145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a:latin typeface="+mn-lt"/>
              <a:ea typeface="+mn-lt"/>
              <a:cs typeface="+mn-lt"/>
            </a:rPr>
            <a:t>The average height and weight of Olympic participants show an overall increasing trend over time. This suggests that participants in later Olympic Games were generally taller and heavier compared with participants in the earlier editions. However, there are some fluctuations between individual Olympic years.</a:t>
          </a:r>
        </a:p>
      </xdr:txBody>
    </xdr:sp>
    <xdr:clientData/>
  </xdr:twoCellAnchor>
  <xdr:twoCellAnchor>
    <xdr:from>
      <xdr:col>10</xdr:col>
      <xdr:colOff>238125</xdr:colOff>
      <xdr:row>11</xdr:row>
      <xdr:rowOff>180975</xdr:rowOff>
    </xdr:from>
    <xdr:to>
      <xdr:col>24</xdr:col>
      <xdr:colOff>200025</xdr:colOff>
      <xdr:row>27</xdr:row>
      <xdr:rowOff>114300</xdr:rowOff>
    </xdr:to>
    <xdr:graphicFrame macro="">
      <xdr:nvGraphicFramePr>
        <xdr:cNvPr id="3" name="Chart 2">
          <a:extLst>
            <a:ext uri="{FF2B5EF4-FFF2-40B4-BE49-F238E27FC236}">
              <a16:creationId xmlns:a16="http://schemas.microsoft.com/office/drawing/2014/main" id="{17D83F56-9BDF-EE5F-A375-A65106792701}"/>
            </a:ext>
            <a:ext uri="{147F2762-F138-4A5C-976F-8EAC2B608ADB}">
              <a16:predDERef xmlns:a16="http://schemas.microsoft.com/office/drawing/2014/main" pred="{68DCD0CE-0FBE-4D33-A7BB-10A6EA6B1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15</xdr:col>
      <xdr:colOff>57150</xdr:colOff>
      <xdr:row>1</xdr:row>
      <xdr:rowOff>142875</xdr:rowOff>
    </xdr:from>
    <xdr:to>
      <xdr:col>18</xdr:col>
      <xdr:colOff>561975</xdr:colOff>
      <xdr:row>11</xdr:row>
      <xdr:rowOff>133350</xdr:rowOff>
    </xdr:to>
    <xdr:sp macro="" textlink="">
      <xdr:nvSpPr>
        <xdr:cNvPr id="2" name="TextBox 1">
          <a:extLst>
            <a:ext uri="{FF2B5EF4-FFF2-40B4-BE49-F238E27FC236}">
              <a16:creationId xmlns:a16="http://schemas.microsoft.com/office/drawing/2014/main" id="{219F2C75-DE7C-43ED-B562-A70A5D4FAA43}"/>
            </a:ext>
          </a:extLst>
        </xdr:cNvPr>
        <xdr:cNvSpPr txBox="1"/>
      </xdr:nvSpPr>
      <xdr:spPr>
        <a:xfrm>
          <a:off x="9734550" y="333375"/>
          <a:ext cx="2333625" cy="18954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a:latin typeface="+mn-lt"/>
              <a:ea typeface="+mn-lt"/>
              <a:cs typeface="+mn-lt"/>
            </a:rPr>
            <a:t>The results show that certain countries/regions dominate specific Olympic sports. The USA has the highest medal counts in sports such as Swimming, Athletics, Rowing and Basketball, while Italy dominates Fencing and Canada dominates Ice Hockey. This indicates that some countries have particularly strong performance in specific sports.</a:t>
          </a:r>
        </a:p>
      </xdr:txBody>
    </xdr:sp>
    <xdr:clientData/>
  </xdr:twoCellAnchor>
  <xdr:twoCellAnchor>
    <xdr:from>
      <xdr:col>13</xdr:col>
      <xdr:colOff>514350</xdr:colOff>
      <xdr:row>12</xdr:row>
      <xdr:rowOff>95250</xdr:rowOff>
    </xdr:from>
    <xdr:to>
      <xdr:col>24</xdr:col>
      <xdr:colOff>257175</xdr:colOff>
      <xdr:row>33</xdr:row>
      <xdr:rowOff>171450</xdr:rowOff>
    </xdr:to>
    <xdr:graphicFrame macro="">
      <xdr:nvGraphicFramePr>
        <xdr:cNvPr id="5" name="Chart 4">
          <a:extLst>
            <a:ext uri="{FF2B5EF4-FFF2-40B4-BE49-F238E27FC236}">
              <a16:creationId xmlns:a16="http://schemas.microsoft.com/office/drawing/2014/main" id="{731105A3-8270-E52E-AF87-5C922609E2AA}"/>
            </a:ext>
            <a:ext uri="{147F2762-F138-4A5C-976F-8EAC2B608ADB}">
              <a16:predDERef xmlns:a16="http://schemas.microsoft.com/office/drawing/2014/main" pred="{219F2C75-DE7C-43ED-B562-A70A5D4FA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17</xdr:col>
      <xdr:colOff>57150</xdr:colOff>
      <xdr:row>1</xdr:row>
      <xdr:rowOff>142875</xdr:rowOff>
    </xdr:from>
    <xdr:to>
      <xdr:col>20</xdr:col>
      <xdr:colOff>561975</xdr:colOff>
      <xdr:row>14</xdr:row>
      <xdr:rowOff>95250</xdr:rowOff>
    </xdr:to>
    <xdr:sp macro="" textlink="">
      <xdr:nvSpPr>
        <xdr:cNvPr id="2" name="TextBox 1">
          <a:extLst>
            <a:ext uri="{FF2B5EF4-FFF2-40B4-BE49-F238E27FC236}">
              <a16:creationId xmlns:a16="http://schemas.microsoft.com/office/drawing/2014/main" id="{220666CC-C137-4292-B85E-3EA33FE5527F}"/>
            </a:ext>
          </a:extLst>
        </xdr:cNvPr>
        <xdr:cNvSpPr txBox="1"/>
      </xdr:nvSpPr>
      <xdr:spPr>
        <a:xfrm>
          <a:off x="9734550" y="333375"/>
          <a:ext cx="2333625" cy="24288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a:latin typeface="+mn-lt"/>
              <a:ea typeface="+mn-lt"/>
              <a:cs typeface="+mn-lt"/>
            </a:rPr>
            <a:t>The results suggest that participation level, the number of medal-winning participants, and athlete age are associated with Olympic performance. Some regions have a much higher proportion of medal-winning participants than others. For example, the Soviet Union has a medal success rate of 59.38%, while the USA has 39.72%. This indicates that participation alone does not determine success, and other factors may influence performance.</a:t>
          </a:r>
        </a:p>
      </xdr:txBody>
    </xdr:sp>
    <xdr:clientData/>
  </xdr:twoCellAnchor>
  <xdr:twoCellAnchor>
    <xdr:from>
      <xdr:col>15</xdr:col>
      <xdr:colOff>257175</xdr:colOff>
      <xdr:row>16</xdr:row>
      <xdr:rowOff>19050</xdr:rowOff>
    </xdr:from>
    <xdr:to>
      <xdr:col>24</xdr:col>
      <xdr:colOff>209550</xdr:colOff>
      <xdr:row>35</xdr:row>
      <xdr:rowOff>19050</xdr:rowOff>
    </xdr:to>
    <xdr:graphicFrame macro="">
      <xdr:nvGraphicFramePr>
        <xdr:cNvPr id="4" name="Chart 3">
          <a:extLst>
            <a:ext uri="{FF2B5EF4-FFF2-40B4-BE49-F238E27FC236}">
              <a16:creationId xmlns:a16="http://schemas.microsoft.com/office/drawing/2014/main" id="{D84B06CE-5FB7-02C8-D9D8-FB30ED7A5F2D}"/>
            </a:ext>
            <a:ext uri="{147F2762-F138-4A5C-976F-8EAC2B608ADB}">
              <a16:predDERef xmlns:a16="http://schemas.microsoft.com/office/drawing/2014/main" pred="{220666CC-C137-4292-B85E-3EA33FE55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13</xdr:col>
      <xdr:colOff>57150</xdr:colOff>
      <xdr:row>1</xdr:row>
      <xdr:rowOff>142875</xdr:rowOff>
    </xdr:from>
    <xdr:to>
      <xdr:col>16</xdr:col>
      <xdr:colOff>561975</xdr:colOff>
      <xdr:row>12</xdr:row>
      <xdr:rowOff>161925</xdr:rowOff>
    </xdr:to>
    <xdr:sp macro="" textlink="">
      <xdr:nvSpPr>
        <xdr:cNvPr id="2" name="TextBox 1">
          <a:extLst>
            <a:ext uri="{FF2B5EF4-FFF2-40B4-BE49-F238E27FC236}">
              <a16:creationId xmlns:a16="http://schemas.microsoft.com/office/drawing/2014/main" id="{BD5924C2-4808-4461-B389-9768633B8A8C}"/>
            </a:ext>
          </a:extLst>
        </xdr:cNvPr>
        <xdr:cNvSpPr txBox="1"/>
      </xdr:nvSpPr>
      <xdr:spPr>
        <a:xfrm>
          <a:off x="9734550" y="333375"/>
          <a:ext cx="2333625" cy="21145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a:latin typeface="+mn-lt"/>
              <a:ea typeface="+mn-lt"/>
              <a:cs typeface="+mn-lt"/>
            </a:rPr>
            <a:t>The results show that several countries have consistently performed well across multiple Olympic editions. The USA has won medals in 50 different Olympic editions, followed by France, Sweden, Canada and Switzerland with medals across 49 editions. This indicates that these countries have maintained a strong and consistent Olympic performance over time.</a:t>
          </a:r>
        </a:p>
      </xdr:txBody>
    </xdr:sp>
    <xdr:clientData/>
  </xdr:twoCellAnchor>
  <xdr:twoCellAnchor>
    <xdr:from>
      <xdr:col>10</xdr:col>
      <xdr:colOff>419100</xdr:colOff>
      <xdr:row>13</xdr:row>
      <xdr:rowOff>76200</xdr:rowOff>
    </xdr:from>
    <xdr:to>
      <xdr:col>21</xdr:col>
      <xdr:colOff>495300</xdr:colOff>
      <xdr:row>37</xdr:row>
      <xdr:rowOff>171450</xdr:rowOff>
    </xdr:to>
    <xdr:graphicFrame macro="">
      <xdr:nvGraphicFramePr>
        <xdr:cNvPr id="3" name="Chart 2">
          <a:extLst>
            <a:ext uri="{FF2B5EF4-FFF2-40B4-BE49-F238E27FC236}">
              <a16:creationId xmlns:a16="http://schemas.microsoft.com/office/drawing/2014/main" id="{6997F87B-A934-87C6-E901-DE8CF2173884}"/>
            </a:ext>
            <a:ext uri="{147F2762-F138-4A5C-976F-8EAC2B608ADB}">
              <a16:predDERef xmlns:a16="http://schemas.microsoft.com/office/drawing/2014/main" pred="{BD5924C2-4808-4461-B389-9768633B8A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15</xdr:col>
      <xdr:colOff>57150</xdr:colOff>
      <xdr:row>1</xdr:row>
      <xdr:rowOff>142875</xdr:rowOff>
    </xdr:from>
    <xdr:to>
      <xdr:col>18</xdr:col>
      <xdr:colOff>561975</xdr:colOff>
      <xdr:row>11</xdr:row>
      <xdr:rowOff>38100</xdr:rowOff>
    </xdr:to>
    <xdr:sp macro="" textlink="">
      <xdr:nvSpPr>
        <xdr:cNvPr id="2" name="TextBox 1">
          <a:extLst>
            <a:ext uri="{FF2B5EF4-FFF2-40B4-BE49-F238E27FC236}">
              <a16:creationId xmlns:a16="http://schemas.microsoft.com/office/drawing/2014/main" id="{EC09170E-6880-4C6A-94FF-EA4DF58B7C4C}"/>
            </a:ext>
          </a:extLst>
        </xdr:cNvPr>
        <xdr:cNvSpPr txBox="1"/>
      </xdr:nvSpPr>
      <xdr:spPr>
        <a:xfrm>
          <a:off x="10353675" y="333375"/>
          <a:ext cx="2333625" cy="18002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a:latin typeface="+mn-lt"/>
              <a:ea typeface="+mn-lt"/>
              <a:cs typeface="+mn-lt"/>
            </a:rPr>
            <a:t>The results show that certain regions dominate specific sports. The USA has the highest number of medalists in several major sports such as Athletics, Swimming, Rowing, and Basketball, while Canada leads in Ice Hockey and the Netherlands leads in Hockey. This indicates strong regional specialization and dominance in particular sports.</a:t>
          </a:r>
        </a:p>
      </xdr:txBody>
    </xdr:sp>
    <xdr:clientData/>
  </xdr:twoCellAnchor>
  <xdr:twoCellAnchor>
    <xdr:from>
      <xdr:col>13</xdr:col>
      <xdr:colOff>390525</xdr:colOff>
      <xdr:row>11</xdr:row>
      <xdr:rowOff>180975</xdr:rowOff>
    </xdr:from>
    <xdr:to>
      <xdr:col>24</xdr:col>
      <xdr:colOff>76200</xdr:colOff>
      <xdr:row>35</xdr:row>
      <xdr:rowOff>85725</xdr:rowOff>
    </xdr:to>
    <xdr:graphicFrame macro="">
      <xdr:nvGraphicFramePr>
        <xdr:cNvPr id="3" name="Chart 2">
          <a:extLst>
            <a:ext uri="{FF2B5EF4-FFF2-40B4-BE49-F238E27FC236}">
              <a16:creationId xmlns:a16="http://schemas.microsoft.com/office/drawing/2014/main" id="{A8DC2889-20E8-032B-E0AB-97CA478E19CB}"/>
            </a:ext>
            <a:ext uri="{147F2762-F138-4A5C-976F-8EAC2B608ADB}">
              <a16:predDERef xmlns:a16="http://schemas.microsoft.com/office/drawing/2014/main" pred="{EC09170E-6880-4C6A-94FF-EA4DF58B7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15</xdr:col>
      <xdr:colOff>57150</xdr:colOff>
      <xdr:row>1</xdr:row>
      <xdr:rowOff>142875</xdr:rowOff>
    </xdr:from>
    <xdr:to>
      <xdr:col>17</xdr:col>
      <xdr:colOff>1085850</xdr:colOff>
      <xdr:row>7</xdr:row>
      <xdr:rowOff>66675</xdr:rowOff>
    </xdr:to>
    <xdr:sp macro="" textlink="">
      <xdr:nvSpPr>
        <xdr:cNvPr id="2" name="TextBox 1">
          <a:extLst>
            <a:ext uri="{FF2B5EF4-FFF2-40B4-BE49-F238E27FC236}">
              <a16:creationId xmlns:a16="http://schemas.microsoft.com/office/drawing/2014/main" id="{57CBEA0C-40CA-44C4-B6D8-97BE34DA482E}"/>
            </a:ext>
          </a:extLst>
        </xdr:cNvPr>
        <xdr:cNvSpPr txBox="1"/>
      </xdr:nvSpPr>
      <xdr:spPr>
        <a:xfrm>
          <a:off x="11982450" y="333375"/>
          <a:ext cx="3933825" cy="10668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a:latin typeface="+mn-lt"/>
              <a:ea typeface="+mn-lt"/>
              <a:cs typeface="+mn-lt"/>
            </a:rPr>
            <a:t>The results show several less-dominant regions achieving medals in specific sports, with some regions having only a small number of medalists. These cases represent relatively uncommon or surprising medal successes compared with the dominant countries in major sports.</a:t>
          </a:r>
        </a:p>
      </xdr:txBody>
    </xdr:sp>
    <xdr:clientData/>
  </xdr:twoCellAnchor>
  <xdr:twoCellAnchor>
    <xdr:from>
      <xdr:col>14</xdr:col>
      <xdr:colOff>361950</xdr:colOff>
      <xdr:row>8</xdr:row>
      <xdr:rowOff>38100</xdr:rowOff>
    </xdr:from>
    <xdr:to>
      <xdr:col>20</xdr:col>
      <xdr:colOff>457200</xdr:colOff>
      <xdr:row>25</xdr:row>
      <xdr:rowOff>66675</xdr:rowOff>
    </xdr:to>
    <xdr:graphicFrame macro="">
      <xdr:nvGraphicFramePr>
        <xdr:cNvPr id="3" name="Chart 2">
          <a:extLst>
            <a:ext uri="{FF2B5EF4-FFF2-40B4-BE49-F238E27FC236}">
              <a16:creationId xmlns:a16="http://schemas.microsoft.com/office/drawing/2014/main" id="{88280123-7405-EBC9-6CB8-2A41FB7E987A}"/>
            </a:ext>
            <a:ext uri="{147F2762-F138-4A5C-976F-8EAC2B608ADB}">
              <a16:predDERef xmlns:a16="http://schemas.microsoft.com/office/drawing/2014/main" pred="{57CBEA0C-40CA-44C4-B6D8-97BE34DA48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15</xdr:col>
      <xdr:colOff>57150</xdr:colOff>
      <xdr:row>1</xdr:row>
      <xdr:rowOff>142875</xdr:rowOff>
    </xdr:from>
    <xdr:to>
      <xdr:col>18</xdr:col>
      <xdr:colOff>561975</xdr:colOff>
      <xdr:row>11</xdr:row>
      <xdr:rowOff>19050</xdr:rowOff>
    </xdr:to>
    <xdr:sp macro="" textlink="">
      <xdr:nvSpPr>
        <xdr:cNvPr id="2" name="TextBox 1">
          <a:extLst>
            <a:ext uri="{FF2B5EF4-FFF2-40B4-BE49-F238E27FC236}">
              <a16:creationId xmlns:a16="http://schemas.microsoft.com/office/drawing/2014/main" id="{F5038889-7663-433B-930D-0C0BBA1390EA}"/>
            </a:ext>
          </a:extLst>
        </xdr:cNvPr>
        <xdr:cNvSpPr txBox="1"/>
      </xdr:nvSpPr>
      <xdr:spPr>
        <a:xfrm>
          <a:off x="9725025" y="333375"/>
          <a:ext cx="2333625" cy="17811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a:latin typeface="+mn-lt"/>
              <a:ea typeface="+mn-lt"/>
              <a:cs typeface="+mn-lt"/>
            </a:rPr>
            <a:t>Olympic participation has grown significantly for many regions over time. The USA shows the largest increase, rising by 540 participants, followed by Brazil, Australia, Germany, China, France, and the UK. This indicates a substantial expansion in participation across major regions compared with their earliest Olympic appearances</a:t>
          </a:r>
        </a:p>
      </xdr:txBody>
    </xdr:sp>
    <xdr:clientData/>
  </xdr:twoCellAnchor>
  <xdr:twoCellAnchor>
    <xdr:from>
      <xdr:col>13</xdr:col>
      <xdr:colOff>514350</xdr:colOff>
      <xdr:row>11</xdr:row>
      <xdr:rowOff>95250</xdr:rowOff>
    </xdr:from>
    <xdr:to>
      <xdr:col>24</xdr:col>
      <xdr:colOff>352425</xdr:colOff>
      <xdr:row>31</xdr:row>
      <xdr:rowOff>114300</xdr:rowOff>
    </xdr:to>
    <xdr:graphicFrame macro="">
      <xdr:nvGraphicFramePr>
        <xdr:cNvPr id="3" name="Chart 2">
          <a:extLst>
            <a:ext uri="{FF2B5EF4-FFF2-40B4-BE49-F238E27FC236}">
              <a16:creationId xmlns:a16="http://schemas.microsoft.com/office/drawing/2014/main" id="{92FD9D4B-28EA-1AD2-B970-D76AE748728B}"/>
            </a:ext>
            <a:ext uri="{147F2762-F138-4A5C-976F-8EAC2B608ADB}">
              <a16:predDERef xmlns:a16="http://schemas.microsoft.com/office/drawing/2014/main" pred="{F5038889-7663-433B-930D-0C0BBA1390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15</xdr:col>
      <xdr:colOff>57150</xdr:colOff>
      <xdr:row>1</xdr:row>
      <xdr:rowOff>142875</xdr:rowOff>
    </xdr:from>
    <xdr:to>
      <xdr:col>18</xdr:col>
      <xdr:colOff>561975</xdr:colOff>
      <xdr:row>12</xdr:row>
      <xdr:rowOff>171450</xdr:rowOff>
    </xdr:to>
    <xdr:sp macro="" textlink="">
      <xdr:nvSpPr>
        <xdr:cNvPr id="2" name="TextBox 1">
          <a:extLst>
            <a:ext uri="{FF2B5EF4-FFF2-40B4-BE49-F238E27FC236}">
              <a16:creationId xmlns:a16="http://schemas.microsoft.com/office/drawing/2014/main" id="{C12872A1-5BB8-47C6-A1B2-84B93477E743}"/>
            </a:ext>
          </a:extLst>
        </xdr:cNvPr>
        <xdr:cNvSpPr txBox="1"/>
      </xdr:nvSpPr>
      <xdr:spPr>
        <a:xfrm>
          <a:off x="12515850" y="333375"/>
          <a:ext cx="2333625" cy="21240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a:latin typeface="+mn-lt"/>
              <a:ea typeface="+mn-lt"/>
              <a:cs typeface="+mn-lt"/>
            </a:rPr>
            <a:t>Cultural and geographical factors may influence regional performance in specific sports. The USA shows strong performance in Athletics, Swimming, Rowing, and Basketball, while Canada has a high number of medalists in Ice Hockey. The concentration of medalists in particular sports suggests that regional sporting traditions, climate, and training infrastructure may contribute to success.</a:t>
          </a:r>
        </a:p>
      </xdr:txBody>
    </xdr:sp>
    <xdr:clientData/>
  </xdr:twoCellAnchor>
  <xdr:twoCellAnchor>
    <xdr:from>
      <xdr:col>13</xdr:col>
      <xdr:colOff>361950</xdr:colOff>
      <xdr:row>14</xdr:row>
      <xdr:rowOff>76200</xdr:rowOff>
    </xdr:from>
    <xdr:to>
      <xdr:col>24</xdr:col>
      <xdr:colOff>600075</xdr:colOff>
      <xdr:row>30</xdr:row>
      <xdr:rowOff>66675</xdr:rowOff>
    </xdr:to>
    <xdr:graphicFrame macro="">
      <xdr:nvGraphicFramePr>
        <xdr:cNvPr id="3" name="Chart 2">
          <a:extLst>
            <a:ext uri="{FF2B5EF4-FFF2-40B4-BE49-F238E27FC236}">
              <a16:creationId xmlns:a16="http://schemas.microsoft.com/office/drawing/2014/main" id="{F9959D7A-B47E-9637-1ADF-00582FAFE1DA}"/>
            </a:ext>
            <a:ext uri="{147F2762-F138-4A5C-976F-8EAC2B608ADB}">
              <a16:predDERef xmlns:a16="http://schemas.microsoft.com/office/drawing/2014/main" pred="{C12872A1-5BB8-47C6-A1B2-84B93477E7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12</xdr:col>
      <xdr:colOff>57150</xdr:colOff>
      <xdr:row>1</xdr:row>
      <xdr:rowOff>142875</xdr:rowOff>
    </xdr:from>
    <xdr:to>
      <xdr:col>15</xdr:col>
      <xdr:colOff>561975</xdr:colOff>
      <xdr:row>9</xdr:row>
      <xdr:rowOff>85725</xdr:rowOff>
    </xdr:to>
    <xdr:sp macro="" textlink="">
      <xdr:nvSpPr>
        <xdr:cNvPr id="2" name="TextBox 1">
          <a:extLst>
            <a:ext uri="{FF2B5EF4-FFF2-40B4-BE49-F238E27FC236}">
              <a16:creationId xmlns:a16="http://schemas.microsoft.com/office/drawing/2014/main" id="{A19D9D55-DF16-4865-9B4F-A2578C42E223}"/>
            </a:ext>
          </a:extLst>
        </xdr:cNvPr>
        <xdr:cNvSpPr txBox="1"/>
      </xdr:nvSpPr>
      <xdr:spPr>
        <a:xfrm>
          <a:off x="9172575" y="333375"/>
          <a:ext cx="2333625" cy="14668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a:latin typeface="+mn-lt"/>
              <a:ea typeface="+mn-lt"/>
              <a:cs typeface="+mn-lt"/>
            </a:rPr>
            <a:t>The USA has had the largest impact on the overall Olympic medal tally with 2,752 medals, followed by the Soviet Union and Germany. A small group of historically strong Olympic nations contributes a substantial share of the total medals.</a:t>
          </a:r>
        </a:p>
        <a:p>
          <a:pPr marL="0" indent="0" algn="ctr"/>
          <a:endParaRPr lang="en-US" sz="1100">
            <a:latin typeface="+mn-lt"/>
            <a:ea typeface="+mn-lt"/>
            <a:cs typeface="+mn-lt"/>
          </a:endParaRPr>
        </a:p>
        <a:p>
          <a:pPr marL="0" indent="0" algn="ctr"/>
          <a:endParaRPr lang="en-US" sz="1100">
            <a:latin typeface="+mn-lt"/>
            <a:ea typeface="+mn-lt"/>
            <a:cs typeface="+mn-lt"/>
          </a:endParaRPr>
        </a:p>
      </xdr:txBody>
    </xdr:sp>
    <xdr:clientData/>
  </xdr:twoCellAnchor>
  <xdr:twoCellAnchor>
    <xdr:from>
      <xdr:col>9</xdr:col>
      <xdr:colOff>771525</xdr:colOff>
      <xdr:row>10</xdr:row>
      <xdr:rowOff>142875</xdr:rowOff>
    </xdr:from>
    <xdr:to>
      <xdr:col>17</xdr:col>
      <xdr:colOff>342900</xdr:colOff>
      <xdr:row>27</xdr:row>
      <xdr:rowOff>180975</xdr:rowOff>
    </xdr:to>
    <xdr:graphicFrame macro="">
      <xdr:nvGraphicFramePr>
        <xdr:cNvPr id="3" name="Chart 2">
          <a:extLst>
            <a:ext uri="{FF2B5EF4-FFF2-40B4-BE49-F238E27FC236}">
              <a16:creationId xmlns:a16="http://schemas.microsoft.com/office/drawing/2014/main" id="{65BDF853-664B-082A-5911-CDAD80C2545A}"/>
            </a:ext>
            <a:ext uri="{147F2762-F138-4A5C-976F-8EAC2B608ADB}">
              <a16:predDERef xmlns:a16="http://schemas.microsoft.com/office/drawing/2014/main" pred="{A19D9D55-DF16-4865-9B4F-A2578C42E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68.73280578704" createdVersion="8" refreshedVersion="8" minRefreshableVersion="3" recordCount="906" xr:uid="{55CA8C2B-0B5A-4343-B653-F3BDF5B0C4F9}">
  <cacheSource type="worksheet">
    <worksheetSource ref="H3:J909" sheet="Question-5"/>
  </cacheSource>
  <cacheFields count="3">
    <cacheField name="games_year" numFmtId="0">
      <sharedItems containsSemiMixedTypes="0" containsString="0" containsNumber="1" containsInteger="1" minValue="1896" maxValue="2016" count="35">
        <n v="1896"/>
        <n v="1900"/>
        <n v="1904"/>
        <n v="1906"/>
        <n v="1908"/>
        <n v="1912"/>
        <n v="1920"/>
        <n v="1924"/>
        <n v="1928"/>
        <n v="1932"/>
        <n v="1936"/>
        <n v="1948"/>
        <n v="1952"/>
        <n v="1956"/>
        <n v="1960"/>
        <n v="1964"/>
        <n v="1968"/>
        <n v="1972"/>
        <n v="1976"/>
        <n v="1980"/>
        <n v="1984"/>
        <n v="1988"/>
        <n v="1992"/>
        <n v="1994"/>
        <n v="1996"/>
        <n v="1998"/>
        <n v="2000"/>
        <n v="2002"/>
        <n v="2004"/>
        <n v="2006"/>
        <n v="2008"/>
        <n v="2010"/>
        <n v="2012"/>
        <n v="2014"/>
        <n v="2016"/>
      </sharedItems>
    </cacheField>
    <cacheField name="sport_name" numFmtId="0">
      <sharedItems count="66">
        <s v="Athletics"/>
        <s v="Gymnastics"/>
        <s v="Shooting"/>
        <s v="Tennis"/>
        <s v="Cycling"/>
        <s v="Fencing"/>
        <s v="Swimming"/>
        <s v="Weightlifting"/>
        <s v="Wrestling"/>
        <s v="Rowing"/>
        <s v="Sailing"/>
        <s v="Equestrianism"/>
        <s v="Rugby"/>
        <s v="Water Polo"/>
        <s v="Cricket"/>
        <s v="Polo"/>
        <s v="Archery"/>
        <s v="Football"/>
        <s v="Golf"/>
        <s v="Tug-Of-War"/>
        <s v="Croquet"/>
        <s v="Basque Pelota"/>
        <s v="Lacrosse"/>
        <s v="Boxing"/>
        <s v="Diving"/>
        <s v="Roque"/>
        <s v="Hockey"/>
        <s v="Figure Skating"/>
        <s v="Motorboating"/>
        <s v="Jeu De Paume"/>
        <s v="Racquets"/>
        <s v="Modern Pentathlon"/>
        <s v="Art Competitions"/>
        <s v="Ice Hockey"/>
        <s v="Cross Country Skiing"/>
        <s v="Nordic Combined"/>
        <s v="Speed Skating"/>
        <s v="Bobsleigh"/>
        <s v="Ski Jumping"/>
        <s v="Military Ski Patrol"/>
        <s v="Curling"/>
        <s v="Alpinism"/>
        <s v="Skeleton"/>
        <s v="Basketball"/>
        <s v="Canoeing"/>
        <s v="Handball"/>
        <s v="Alpine Skiing"/>
        <s v="Aeronautics"/>
        <s v="Biathlon"/>
        <s v="Volleyball"/>
        <s v="Judo"/>
        <s v="Luge"/>
        <s v="Synchronized Swimming"/>
        <s v="Rhythmic Gymnastics"/>
        <s v="Table Tennis"/>
        <s v="Badminton"/>
        <s v="Baseball"/>
        <s v="Short Track Speed Skating"/>
        <s v="Freestyle Skiing"/>
        <s v="Softball"/>
        <s v="Beach Volleyball"/>
        <s v="Snowboarding"/>
        <s v="Taekwondo"/>
        <s v="Triathlon"/>
        <s v="Trampolining"/>
        <s v="Rugby Sevens"/>
      </sharedItems>
    </cacheField>
    <cacheField name="total_participants" numFmtId="0">
      <sharedItems containsSemiMixedTypes="0" containsString="0" containsNumber="1" containsInteger="1" minValue="1" maxValue="22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6">
  <r>
    <x v="0"/>
    <x v="0"/>
    <n v="34"/>
  </r>
  <r>
    <x v="0"/>
    <x v="1"/>
    <n v="17"/>
  </r>
  <r>
    <x v="0"/>
    <x v="2"/>
    <n v="10"/>
  </r>
  <r>
    <x v="0"/>
    <x v="3"/>
    <n v="8"/>
  </r>
  <r>
    <x v="0"/>
    <x v="4"/>
    <n v="7"/>
  </r>
  <r>
    <x v="0"/>
    <x v="5"/>
    <n v="6"/>
  </r>
  <r>
    <x v="0"/>
    <x v="6"/>
    <n v="4"/>
  </r>
  <r>
    <x v="0"/>
    <x v="7"/>
    <n v="4"/>
  </r>
  <r>
    <x v="0"/>
    <x v="8"/>
    <n v="3"/>
  </r>
  <r>
    <x v="1"/>
    <x v="0"/>
    <n v="102"/>
  </r>
  <r>
    <x v="1"/>
    <x v="5"/>
    <n v="101"/>
  </r>
  <r>
    <x v="1"/>
    <x v="9"/>
    <n v="70"/>
  </r>
  <r>
    <x v="1"/>
    <x v="10"/>
    <n v="47"/>
  </r>
  <r>
    <x v="1"/>
    <x v="2"/>
    <n v="46"/>
  </r>
  <r>
    <x v="1"/>
    <x v="11"/>
    <n v="33"/>
  </r>
  <r>
    <x v="1"/>
    <x v="1"/>
    <n v="33"/>
  </r>
  <r>
    <x v="1"/>
    <x v="6"/>
    <n v="33"/>
  </r>
  <r>
    <x v="1"/>
    <x v="12"/>
    <n v="26"/>
  </r>
  <r>
    <x v="1"/>
    <x v="13"/>
    <n v="26"/>
  </r>
  <r>
    <x v="1"/>
    <x v="4"/>
    <n v="24"/>
  </r>
  <r>
    <x v="1"/>
    <x v="14"/>
    <n v="18"/>
  </r>
  <r>
    <x v="1"/>
    <x v="15"/>
    <n v="18"/>
  </r>
  <r>
    <x v="1"/>
    <x v="3"/>
    <n v="18"/>
  </r>
  <r>
    <x v="1"/>
    <x v="16"/>
    <n v="17"/>
  </r>
  <r>
    <x v="1"/>
    <x v="17"/>
    <n v="16"/>
  </r>
  <r>
    <x v="1"/>
    <x v="18"/>
    <n v="16"/>
  </r>
  <r>
    <x v="1"/>
    <x v="19"/>
    <n v="11"/>
  </r>
  <r>
    <x v="1"/>
    <x v="20"/>
    <n v="8"/>
  </r>
  <r>
    <x v="1"/>
    <x v="21"/>
    <n v="2"/>
  </r>
  <r>
    <x v="2"/>
    <x v="0"/>
    <n v="94"/>
  </r>
  <r>
    <x v="2"/>
    <x v="1"/>
    <n v="82"/>
  </r>
  <r>
    <x v="2"/>
    <x v="18"/>
    <n v="69"/>
  </r>
  <r>
    <x v="2"/>
    <x v="9"/>
    <n v="37"/>
  </r>
  <r>
    <x v="2"/>
    <x v="17"/>
    <n v="32"/>
  </r>
  <r>
    <x v="2"/>
    <x v="8"/>
    <n v="31"/>
  </r>
  <r>
    <x v="2"/>
    <x v="3"/>
    <n v="29"/>
  </r>
  <r>
    <x v="2"/>
    <x v="6"/>
    <n v="28"/>
  </r>
  <r>
    <x v="2"/>
    <x v="16"/>
    <n v="24"/>
  </r>
  <r>
    <x v="2"/>
    <x v="22"/>
    <n v="17"/>
  </r>
  <r>
    <x v="2"/>
    <x v="13"/>
    <n v="17"/>
  </r>
  <r>
    <x v="2"/>
    <x v="23"/>
    <n v="14"/>
  </r>
  <r>
    <x v="2"/>
    <x v="4"/>
    <n v="14"/>
  </r>
  <r>
    <x v="2"/>
    <x v="19"/>
    <n v="13"/>
  </r>
  <r>
    <x v="2"/>
    <x v="5"/>
    <n v="10"/>
  </r>
  <r>
    <x v="2"/>
    <x v="24"/>
    <n v="3"/>
  </r>
  <r>
    <x v="2"/>
    <x v="25"/>
    <n v="3"/>
  </r>
  <r>
    <x v="2"/>
    <x v="7"/>
    <n v="2"/>
  </r>
  <r>
    <x v="3"/>
    <x v="0"/>
    <n v="131"/>
  </r>
  <r>
    <x v="3"/>
    <x v="1"/>
    <n v="51"/>
  </r>
  <r>
    <x v="3"/>
    <x v="5"/>
    <n v="42"/>
  </r>
  <r>
    <x v="3"/>
    <x v="2"/>
    <n v="30"/>
  </r>
  <r>
    <x v="3"/>
    <x v="6"/>
    <n v="30"/>
  </r>
  <r>
    <x v="3"/>
    <x v="9"/>
    <n v="25"/>
  </r>
  <r>
    <x v="3"/>
    <x v="19"/>
    <n v="20"/>
  </r>
  <r>
    <x v="3"/>
    <x v="24"/>
    <n v="19"/>
  </r>
  <r>
    <x v="3"/>
    <x v="4"/>
    <n v="18"/>
  </r>
  <r>
    <x v="3"/>
    <x v="17"/>
    <n v="18"/>
  </r>
  <r>
    <x v="3"/>
    <x v="3"/>
    <n v="17"/>
  </r>
  <r>
    <x v="3"/>
    <x v="8"/>
    <n v="16"/>
  </r>
  <r>
    <x v="3"/>
    <x v="7"/>
    <n v="8"/>
  </r>
  <r>
    <x v="4"/>
    <x v="0"/>
    <n v="374"/>
  </r>
  <r>
    <x v="4"/>
    <x v="1"/>
    <n v="216"/>
  </r>
  <r>
    <x v="4"/>
    <x v="2"/>
    <n v="163"/>
  </r>
  <r>
    <x v="4"/>
    <x v="5"/>
    <n v="100"/>
  </r>
  <r>
    <x v="4"/>
    <x v="6"/>
    <n v="80"/>
  </r>
  <r>
    <x v="4"/>
    <x v="9"/>
    <n v="68"/>
  </r>
  <r>
    <x v="4"/>
    <x v="8"/>
    <n v="65"/>
  </r>
  <r>
    <x v="4"/>
    <x v="17"/>
    <n v="63"/>
  </r>
  <r>
    <x v="4"/>
    <x v="10"/>
    <n v="55"/>
  </r>
  <r>
    <x v="4"/>
    <x v="4"/>
    <n v="51"/>
  </r>
  <r>
    <x v="4"/>
    <x v="26"/>
    <n v="47"/>
  </r>
  <r>
    <x v="4"/>
    <x v="3"/>
    <n v="46"/>
  </r>
  <r>
    <x v="4"/>
    <x v="16"/>
    <n v="38"/>
  </r>
  <r>
    <x v="4"/>
    <x v="19"/>
    <n v="36"/>
  </r>
  <r>
    <x v="4"/>
    <x v="13"/>
    <n v="26"/>
  </r>
  <r>
    <x v="4"/>
    <x v="24"/>
    <n v="25"/>
  </r>
  <r>
    <x v="4"/>
    <x v="12"/>
    <n v="23"/>
  </r>
  <r>
    <x v="4"/>
    <x v="23"/>
    <n v="20"/>
  </r>
  <r>
    <x v="4"/>
    <x v="22"/>
    <n v="19"/>
  </r>
  <r>
    <x v="4"/>
    <x v="27"/>
    <n v="17"/>
  </r>
  <r>
    <x v="4"/>
    <x v="28"/>
    <n v="12"/>
  </r>
  <r>
    <x v="4"/>
    <x v="29"/>
    <n v="11"/>
  </r>
  <r>
    <x v="4"/>
    <x v="15"/>
    <n v="11"/>
  </r>
  <r>
    <x v="4"/>
    <x v="30"/>
    <n v="7"/>
  </r>
  <r>
    <x v="5"/>
    <x v="0"/>
    <n v="523"/>
  </r>
  <r>
    <x v="5"/>
    <x v="2"/>
    <n v="281"/>
  </r>
  <r>
    <x v="5"/>
    <x v="1"/>
    <n v="249"/>
  </r>
  <r>
    <x v="5"/>
    <x v="9"/>
    <n v="183"/>
  </r>
  <r>
    <x v="5"/>
    <x v="8"/>
    <n v="165"/>
  </r>
  <r>
    <x v="5"/>
    <x v="17"/>
    <n v="157"/>
  </r>
  <r>
    <x v="5"/>
    <x v="5"/>
    <n v="144"/>
  </r>
  <r>
    <x v="5"/>
    <x v="4"/>
    <n v="119"/>
  </r>
  <r>
    <x v="5"/>
    <x v="6"/>
    <n v="118"/>
  </r>
  <r>
    <x v="5"/>
    <x v="10"/>
    <n v="98"/>
  </r>
  <r>
    <x v="5"/>
    <x v="3"/>
    <n v="80"/>
  </r>
  <r>
    <x v="5"/>
    <x v="24"/>
    <n v="56"/>
  </r>
  <r>
    <x v="5"/>
    <x v="11"/>
    <n v="56"/>
  </r>
  <r>
    <x v="5"/>
    <x v="13"/>
    <n v="45"/>
  </r>
  <r>
    <x v="5"/>
    <x v="31"/>
    <n v="31"/>
  </r>
  <r>
    <x v="5"/>
    <x v="32"/>
    <n v="25"/>
  </r>
  <r>
    <x v="5"/>
    <x v="19"/>
    <n v="16"/>
  </r>
  <r>
    <x v="6"/>
    <x v="0"/>
    <n v="436"/>
  </r>
  <r>
    <x v="6"/>
    <x v="1"/>
    <n v="196"/>
  </r>
  <r>
    <x v="6"/>
    <x v="2"/>
    <n v="180"/>
  </r>
  <r>
    <x v="6"/>
    <x v="17"/>
    <n v="168"/>
  </r>
  <r>
    <x v="6"/>
    <x v="5"/>
    <n v="126"/>
  </r>
  <r>
    <x v="6"/>
    <x v="8"/>
    <n v="105"/>
  </r>
  <r>
    <x v="6"/>
    <x v="9"/>
    <n v="94"/>
  </r>
  <r>
    <x v="6"/>
    <x v="10"/>
    <n v="93"/>
  </r>
  <r>
    <x v="6"/>
    <x v="6"/>
    <n v="86"/>
  </r>
  <r>
    <x v="6"/>
    <x v="23"/>
    <n v="82"/>
  </r>
  <r>
    <x v="6"/>
    <x v="11"/>
    <n v="75"/>
  </r>
  <r>
    <x v="6"/>
    <x v="4"/>
    <n v="73"/>
  </r>
  <r>
    <x v="6"/>
    <x v="13"/>
    <n v="67"/>
  </r>
  <r>
    <x v="6"/>
    <x v="3"/>
    <n v="57"/>
  </r>
  <r>
    <x v="6"/>
    <x v="33"/>
    <n v="54"/>
  </r>
  <r>
    <x v="6"/>
    <x v="24"/>
    <n v="46"/>
  </r>
  <r>
    <x v="6"/>
    <x v="7"/>
    <n v="33"/>
  </r>
  <r>
    <x v="6"/>
    <x v="26"/>
    <n v="31"/>
  </r>
  <r>
    <x v="6"/>
    <x v="19"/>
    <n v="29"/>
  </r>
  <r>
    <x v="6"/>
    <x v="12"/>
    <n v="26"/>
  </r>
  <r>
    <x v="6"/>
    <x v="27"/>
    <n v="22"/>
  </r>
  <r>
    <x v="6"/>
    <x v="31"/>
    <n v="21"/>
  </r>
  <r>
    <x v="6"/>
    <x v="16"/>
    <n v="19"/>
  </r>
  <r>
    <x v="6"/>
    <x v="15"/>
    <n v="16"/>
  </r>
  <r>
    <x v="6"/>
    <x v="32"/>
    <n v="11"/>
  </r>
  <r>
    <x v="7"/>
    <x v="0"/>
    <n v="575"/>
  </r>
  <r>
    <x v="7"/>
    <x v="17"/>
    <n v="244"/>
  </r>
  <r>
    <x v="7"/>
    <x v="5"/>
    <n v="189"/>
  </r>
  <r>
    <x v="7"/>
    <x v="2"/>
    <n v="180"/>
  </r>
  <r>
    <x v="7"/>
    <x v="23"/>
    <n v="159"/>
  </r>
  <r>
    <x v="7"/>
    <x v="8"/>
    <n v="155"/>
  </r>
  <r>
    <x v="7"/>
    <x v="32"/>
    <n v="139"/>
  </r>
  <r>
    <x v="7"/>
    <x v="6"/>
    <n v="138"/>
  </r>
  <r>
    <x v="7"/>
    <x v="9"/>
    <n v="132"/>
  </r>
  <r>
    <x v="7"/>
    <x v="3"/>
    <n v="101"/>
  </r>
  <r>
    <x v="7"/>
    <x v="11"/>
    <n v="89"/>
  </r>
  <r>
    <x v="7"/>
    <x v="4"/>
    <n v="86"/>
  </r>
  <r>
    <x v="7"/>
    <x v="33"/>
    <n v="78"/>
  </r>
  <r>
    <x v="7"/>
    <x v="13"/>
    <n v="73"/>
  </r>
  <r>
    <x v="7"/>
    <x v="7"/>
    <n v="62"/>
  </r>
  <r>
    <x v="7"/>
    <x v="1"/>
    <n v="56"/>
  </r>
  <r>
    <x v="7"/>
    <x v="34"/>
    <n v="52"/>
  </r>
  <r>
    <x v="7"/>
    <x v="24"/>
    <n v="50"/>
  </r>
  <r>
    <x v="7"/>
    <x v="10"/>
    <n v="50"/>
  </r>
  <r>
    <x v="7"/>
    <x v="12"/>
    <n v="36"/>
  </r>
  <r>
    <x v="7"/>
    <x v="31"/>
    <n v="29"/>
  </r>
  <r>
    <x v="7"/>
    <x v="35"/>
    <n v="29"/>
  </r>
  <r>
    <x v="7"/>
    <x v="36"/>
    <n v="29"/>
  </r>
  <r>
    <x v="7"/>
    <x v="27"/>
    <n v="25"/>
  </r>
  <r>
    <x v="7"/>
    <x v="37"/>
    <n v="24"/>
  </r>
  <r>
    <x v="7"/>
    <x v="38"/>
    <n v="24"/>
  </r>
  <r>
    <x v="7"/>
    <x v="15"/>
    <n v="22"/>
  </r>
  <r>
    <x v="7"/>
    <x v="39"/>
    <n v="19"/>
  </r>
  <r>
    <x v="7"/>
    <x v="40"/>
    <n v="16"/>
  </r>
  <r>
    <x v="7"/>
    <x v="41"/>
    <n v="12"/>
  </r>
  <r>
    <x v="8"/>
    <x v="0"/>
    <n v="624"/>
  </r>
  <r>
    <x v="8"/>
    <x v="32"/>
    <n v="318"/>
  </r>
  <r>
    <x v="8"/>
    <x v="5"/>
    <n v="203"/>
  </r>
  <r>
    <x v="8"/>
    <x v="17"/>
    <n v="191"/>
  </r>
  <r>
    <x v="8"/>
    <x v="9"/>
    <n v="173"/>
  </r>
  <r>
    <x v="8"/>
    <x v="6"/>
    <n v="146"/>
  </r>
  <r>
    <x v="8"/>
    <x v="8"/>
    <n v="116"/>
  </r>
  <r>
    <x v="8"/>
    <x v="1"/>
    <n v="111"/>
  </r>
  <r>
    <x v="8"/>
    <x v="4"/>
    <n v="110"/>
  </r>
  <r>
    <x v="8"/>
    <x v="23"/>
    <n v="108"/>
  </r>
  <r>
    <x v="8"/>
    <x v="33"/>
    <n v="106"/>
  </r>
  <r>
    <x v="8"/>
    <x v="10"/>
    <n v="106"/>
  </r>
  <r>
    <x v="8"/>
    <x v="11"/>
    <n v="104"/>
  </r>
  <r>
    <x v="8"/>
    <x v="13"/>
    <n v="85"/>
  </r>
  <r>
    <x v="8"/>
    <x v="26"/>
    <n v="79"/>
  </r>
  <r>
    <x v="8"/>
    <x v="37"/>
    <n v="75"/>
  </r>
  <r>
    <x v="8"/>
    <x v="34"/>
    <n v="65"/>
  </r>
  <r>
    <x v="8"/>
    <x v="7"/>
    <n v="63"/>
  </r>
  <r>
    <x v="8"/>
    <x v="24"/>
    <n v="46"/>
  </r>
  <r>
    <x v="8"/>
    <x v="27"/>
    <n v="42"/>
  </r>
  <r>
    <x v="8"/>
    <x v="36"/>
    <n v="39"/>
  </r>
  <r>
    <x v="8"/>
    <x v="38"/>
    <n v="33"/>
  </r>
  <r>
    <x v="8"/>
    <x v="35"/>
    <n v="32"/>
  </r>
  <r>
    <x v="8"/>
    <x v="31"/>
    <n v="30"/>
  </r>
  <r>
    <x v="8"/>
    <x v="42"/>
    <n v="8"/>
  </r>
  <r>
    <x v="9"/>
    <x v="32"/>
    <n v="505"/>
  </r>
  <r>
    <x v="9"/>
    <x v="0"/>
    <n v="349"/>
  </r>
  <r>
    <x v="9"/>
    <x v="9"/>
    <n v="130"/>
  </r>
  <r>
    <x v="9"/>
    <x v="6"/>
    <n v="107"/>
  </r>
  <r>
    <x v="9"/>
    <x v="5"/>
    <n v="102"/>
  </r>
  <r>
    <x v="9"/>
    <x v="23"/>
    <n v="70"/>
  </r>
  <r>
    <x v="9"/>
    <x v="8"/>
    <n v="67"/>
  </r>
  <r>
    <x v="9"/>
    <x v="4"/>
    <n v="61"/>
  </r>
  <r>
    <x v="9"/>
    <x v="34"/>
    <n v="51"/>
  </r>
  <r>
    <x v="9"/>
    <x v="10"/>
    <n v="49"/>
  </r>
  <r>
    <x v="9"/>
    <x v="33"/>
    <n v="46"/>
  </r>
  <r>
    <x v="9"/>
    <x v="1"/>
    <n v="42"/>
  </r>
  <r>
    <x v="9"/>
    <x v="27"/>
    <n v="36"/>
  </r>
  <r>
    <x v="9"/>
    <x v="37"/>
    <n v="35"/>
  </r>
  <r>
    <x v="9"/>
    <x v="13"/>
    <n v="32"/>
  </r>
  <r>
    <x v="9"/>
    <x v="26"/>
    <n v="31"/>
  </r>
  <r>
    <x v="9"/>
    <x v="36"/>
    <n v="31"/>
  </r>
  <r>
    <x v="9"/>
    <x v="2"/>
    <n v="30"/>
  </r>
  <r>
    <x v="9"/>
    <x v="35"/>
    <n v="29"/>
  </r>
  <r>
    <x v="9"/>
    <x v="38"/>
    <n v="29"/>
  </r>
  <r>
    <x v="9"/>
    <x v="11"/>
    <n v="27"/>
  </r>
  <r>
    <x v="9"/>
    <x v="7"/>
    <n v="27"/>
  </r>
  <r>
    <x v="9"/>
    <x v="31"/>
    <n v="21"/>
  </r>
  <r>
    <x v="9"/>
    <x v="24"/>
    <n v="20"/>
  </r>
  <r>
    <x v="9"/>
    <x v="41"/>
    <n v="2"/>
  </r>
  <r>
    <x v="10"/>
    <x v="0"/>
    <n v="762"/>
  </r>
  <r>
    <x v="10"/>
    <x v="32"/>
    <n v="430"/>
  </r>
  <r>
    <x v="10"/>
    <x v="9"/>
    <n v="308"/>
  </r>
  <r>
    <x v="10"/>
    <x v="5"/>
    <n v="300"/>
  </r>
  <r>
    <x v="10"/>
    <x v="6"/>
    <n v="231"/>
  </r>
  <r>
    <x v="10"/>
    <x v="17"/>
    <n v="201"/>
  </r>
  <r>
    <x v="10"/>
    <x v="8"/>
    <n v="195"/>
  </r>
  <r>
    <x v="10"/>
    <x v="43"/>
    <n v="193"/>
  </r>
  <r>
    <x v="10"/>
    <x v="23"/>
    <n v="179"/>
  </r>
  <r>
    <x v="10"/>
    <x v="1"/>
    <n v="175"/>
  </r>
  <r>
    <x v="10"/>
    <x v="4"/>
    <n v="174"/>
  </r>
  <r>
    <x v="10"/>
    <x v="33"/>
    <n v="171"/>
  </r>
  <r>
    <x v="10"/>
    <x v="10"/>
    <n v="171"/>
  </r>
  <r>
    <x v="10"/>
    <x v="26"/>
    <n v="158"/>
  </r>
  <r>
    <x v="10"/>
    <x v="13"/>
    <n v="142"/>
  </r>
  <r>
    <x v="10"/>
    <x v="2"/>
    <n v="133"/>
  </r>
  <r>
    <x v="10"/>
    <x v="11"/>
    <n v="127"/>
  </r>
  <r>
    <x v="10"/>
    <x v="44"/>
    <n v="119"/>
  </r>
  <r>
    <x v="10"/>
    <x v="34"/>
    <n v="108"/>
  </r>
  <r>
    <x v="10"/>
    <x v="45"/>
    <n v="105"/>
  </r>
  <r>
    <x v="10"/>
    <x v="46"/>
    <n v="102"/>
  </r>
  <r>
    <x v="10"/>
    <x v="37"/>
    <n v="89"/>
  </r>
  <r>
    <x v="10"/>
    <x v="27"/>
    <n v="83"/>
  </r>
  <r>
    <x v="10"/>
    <x v="7"/>
    <n v="80"/>
  </r>
  <r>
    <x v="10"/>
    <x v="24"/>
    <n v="66"/>
  </r>
  <r>
    <x v="10"/>
    <x v="35"/>
    <n v="50"/>
  </r>
  <r>
    <x v="10"/>
    <x v="36"/>
    <n v="50"/>
  </r>
  <r>
    <x v="10"/>
    <x v="38"/>
    <n v="48"/>
  </r>
  <r>
    <x v="10"/>
    <x v="31"/>
    <n v="41"/>
  </r>
  <r>
    <x v="10"/>
    <x v="15"/>
    <n v="21"/>
  </r>
  <r>
    <x v="10"/>
    <x v="41"/>
    <n v="2"/>
  </r>
  <r>
    <x v="10"/>
    <x v="47"/>
    <n v="1"/>
  </r>
  <r>
    <x v="11"/>
    <x v="0"/>
    <n v="681"/>
  </r>
  <r>
    <x v="11"/>
    <x v="32"/>
    <n v="264"/>
  </r>
  <r>
    <x v="11"/>
    <x v="5"/>
    <n v="253"/>
  </r>
  <r>
    <x v="11"/>
    <x v="9"/>
    <n v="239"/>
  </r>
  <r>
    <x v="11"/>
    <x v="6"/>
    <n v="201"/>
  </r>
  <r>
    <x v="11"/>
    <x v="43"/>
    <n v="181"/>
  </r>
  <r>
    <x v="11"/>
    <x v="1"/>
    <n v="171"/>
  </r>
  <r>
    <x v="11"/>
    <x v="46"/>
    <n v="164"/>
  </r>
  <r>
    <x v="11"/>
    <x v="10"/>
    <n v="160"/>
  </r>
  <r>
    <x v="11"/>
    <x v="4"/>
    <n v="157"/>
  </r>
  <r>
    <x v="11"/>
    <x v="17"/>
    <n v="153"/>
  </r>
  <r>
    <x v="11"/>
    <x v="23"/>
    <n v="151"/>
  </r>
  <r>
    <x v="11"/>
    <x v="2"/>
    <n v="147"/>
  </r>
  <r>
    <x v="11"/>
    <x v="8"/>
    <n v="147"/>
  </r>
  <r>
    <x v="11"/>
    <x v="26"/>
    <n v="137"/>
  </r>
  <r>
    <x v="11"/>
    <x v="33"/>
    <n v="137"/>
  </r>
  <r>
    <x v="11"/>
    <x v="13"/>
    <n v="111"/>
  </r>
  <r>
    <x v="11"/>
    <x v="34"/>
    <n v="106"/>
  </r>
  <r>
    <x v="11"/>
    <x v="44"/>
    <n v="98"/>
  </r>
  <r>
    <x v="11"/>
    <x v="11"/>
    <n v="88"/>
  </r>
  <r>
    <x v="11"/>
    <x v="7"/>
    <n v="85"/>
  </r>
  <r>
    <x v="11"/>
    <x v="36"/>
    <n v="68"/>
  </r>
  <r>
    <x v="11"/>
    <x v="37"/>
    <n v="67"/>
  </r>
  <r>
    <x v="11"/>
    <x v="27"/>
    <n v="62"/>
  </r>
  <r>
    <x v="11"/>
    <x v="24"/>
    <n v="52"/>
  </r>
  <r>
    <x v="11"/>
    <x v="38"/>
    <n v="49"/>
  </r>
  <r>
    <x v="11"/>
    <x v="35"/>
    <n v="39"/>
  </r>
  <r>
    <x v="11"/>
    <x v="31"/>
    <n v="34"/>
  </r>
  <r>
    <x v="11"/>
    <x v="42"/>
    <n v="15"/>
  </r>
  <r>
    <x v="12"/>
    <x v="0"/>
    <n v="942"/>
  </r>
  <r>
    <x v="12"/>
    <x v="9"/>
    <n v="383"/>
  </r>
  <r>
    <x v="12"/>
    <x v="1"/>
    <n v="308"/>
  </r>
  <r>
    <x v="12"/>
    <x v="6"/>
    <n v="302"/>
  </r>
  <r>
    <x v="12"/>
    <x v="5"/>
    <n v="281"/>
  </r>
  <r>
    <x v="12"/>
    <x v="43"/>
    <n v="280"/>
  </r>
  <r>
    <x v="12"/>
    <x v="17"/>
    <n v="274"/>
  </r>
  <r>
    <x v="12"/>
    <x v="23"/>
    <n v="246"/>
  </r>
  <r>
    <x v="12"/>
    <x v="8"/>
    <n v="224"/>
  </r>
  <r>
    <x v="12"/>
    <x v="10"/>
    <n v="214"/>
  </r>
  <r>
    <x v="12"/>
    <x v="4"/>
    <n v="205"/>
  </r>
  <r>
    <x v="12"/>
    <x v="2"/>
    <n v="201"/>
  </r>
  <r>
    <x v="12"/>
    <x v="13"/>
    <n v="182"/>
  </r>
  <r>
    <x v="12"/>
    <x v="46"/>
    <n v="165"/>
  </r>
  <r>
    <x v="12"/>
    <x v="26"/>
    <n v="153"/>
  </r>
  <r>
    <x v="12"/>
    <x v="44"/>
    <n v="152"/>
  </r>
  <r>
    <x v="12"/>
    <x v="33"/>
    <n v="145"/>
  </r>
  <r>
    <x v="12"/>
    <x v="34"/>
    <n v="137"/>
  </r>
  <r>
    <x v="12"/>
    <x v="7"/>
    <n v="135"/>
  </r>
  <r>
    <x v="12"/>
    <x v="11"/>
    <n v="122"/>
  </r>
  <r>
    <x v="12"/>
    <x v="24"/>
    <n v="71"/>
  </r>
  <r>
    <x v="12"/>
    <x v="37"/>
    <n v="68"/>
  </r>
  <r>
    <x v="12"/>
    <x v="36"/>
    <n v="67"/>
  </r>
  <r>
    <x v="12"/>
    <x v="27"/>
    <n v="61"/>
  </r>
  <r>
    <x v="12"/>
    <x v="31"/>
    <n v="50"/>
  </r>
  <r>
    <x v="12"/>
    <x v="38"/>
    <n v="44"/>
  </r>
  <r>
    <x v="12"/>
    <x v="35"/>
    <n v="24"/>
  </r>
  <r>
    <x v="13"/>
    <x v="0"/>
    <n v="668"/>
  </r>
  <r>
    <x v="13"/>
    <x v="9"/>
    <n v="195"/>
  </r>
  <r>
    <x v="13"/>
    <x v="6"/>
    <n v="193"/>
  </r>
  <r>
    <x v="13"/>
    <x v="46"/>
    <n v="172"/>
  </r>
  <r>
    <x v="13"/>
    <x v="33"/>
    <n v="168"/>
  </r>
  <r>
    <x v="13"/>
    <x v="5"/>
    <n v="152"/>
  </r>
  <r>
    <x v="13"/>
    <x v="34"/>
    <n v="148"/>
  </r>
  <r>
    <x v="13"/>
    <x v="8"/>
    <n v="145"/>
  </r>
  <r>
    <x v="13"/>
    <x v="23"/>
    <n v="137"/>
  </r>
  <r>
    <x v="13"/>
    <x v="11"/>
    <n v="137"/>
  </r>
  <r>
    <x v="13"/>
    <x v="26"/>
    <n v="136"/>
  </r>
  <r>
    <x v="13"/>
    <x v="4"/>
    <n v="131"/>
  </r>
  <r>
    <x v="13"/>
    <x v="10"/>
    <n v="126"/>
  </r>
  <r>
    <x v="13"/>
    <x v="2"/>
    <n v="125"/>
  </r>
  <r>
    <x v="13"/>
    <x v="1"/>
    <n v="120"/>
  </r>
  <r>
    <x v="13"/>
    <x v="43"/>
    <n v="113"/>
  </r>
  <r>
    <x v="13"/>
    <x v="17"/>
    <n v="113"/>
  </r>
  <r>
    <x v="13"/>
    <x v="44"/>
    <n v="109"/>
  </r>
  <r>
    <x v="13"/>
    <x v="37"/>
    <n v="99"/>
  </r>
  <r>
    <x v="13"/>
    <x v="13"/>
    <n v="90"/>
  </r>
  <r>
    <x v="13"/>
    <x v="7"/>
    <n v="88"/>
  </r>
  <r>
    <x v="13"/>
    <x v="36"/>
    <n v="81"/>
  </r>
  <r>
    <x v="13"/>
    <x v="27"/>
    <n v="59"/>
  </r>
  <r>
    <x v="13"/>
    <x v="24"/>
    <n v="50"/>
  </r>
  <r>
    <x v="13"/>
    <x v="38"/>
    <n v="50"/>
  </r>
  <r>
    <x v="13"/>
    <x v="31"/>
    <n v="35"/>
  </r>
  <r>
    <x v="13"/>
    <x v="35"/>
    <n v="34"/>
  </r>
  <r>
    <x v="14"/>
    <x v="0"/>
    <n v="989"/>
  </r>
  <r>
    <x v="14"/>
    <x v="9"/>
    <n v="400"/>
  </r>
  <r>
    <x v="14"/>
    <x v="6"/>
    <n v="376"/>
  </r>
  <r>
    <x v="14"/>
    <x v="5"/>
    <n v="343"/>
  </r>
  <r>
    <x v="14"/>
    <x v="8"/>
    <n v="312"/>
  </r>
  <r>
    <x v="14"/>
    <x v="2"/>
    <n v="302"/>
  </r>
  <r>
    <x v="14"/>
    <x v="4"/>
    <n v="290"/>
  </r>
  <r>
    <x v="14"/>
    <x v="10"/>
    <n v="284"/>
  </r>
  <r>
    <x v="14"/>
    <x v="23"/>
    <n v="272"/>
  </r>
  <r>
    <x v="14"/>
    <x v="1"/>
    <n v="240"/>
  </r>
  <r>
    <x v="14"/>
    <x v="26"/>
    <n v="236"/>
  </r>
  <r>
    <x v="14"/>
    <x v="17"/>
    <n v="222"/>
  </r>
  <r>
    <x v="14"/>
    <x v="43"/>
    <n v="191"/>
  </r>
  <r>
    <x v="14"/>
    <x v="44"/>
    <n v="173"/>
  </r>
  <r>
    <x v="14"/>
    <x v="7"/>
    <n v="159"/>
  </r>
  <r>
    <x v="14"/>
    <x v="11"/>
    <n v="158"/>
  </r>
  <r>
    <x v="14"/>
    <x v="33"/>
    <n v="149"/>
  </r>
  <r>
    <x v="14"/>
    <x v="13"/>
    <n v="142"/>
  </r>
  <r>
    <x v="14"/>
    <x v="46"/>
    <n v="130"/>
  </r>
  <r>
    <x v="14"/>
    <x v="34"/>
    <n v="110"/>
  </r>
  <r>
    <x v="14"/>
    <x v="36"/>
    <n v="101"/>
  </r>
  <r>
    <x v="14"/>
    <x v="24"/>
    <n v="72"/>
  </r>
  <r>
    <x v="14"/>
    <x v="27"/>
    <n v="71"/>
  </r>
  <r>
    <x v="14"/>
    <x v="31"/>
    <n v="60"/>
  </r>
  <r>
    <x v="14"/>
    <x v="38"/>
    <n v="45"/>
  </r>
  <r>
    <x v="14"/>
    <x v="35"/>
    <n v="32"/>
  </r>
  <r>
    <x v="14"/>
    <x v="48"/>
    <n v="30"/>
  </r>
  <r>
    <x v="15"/>
    <x v="0"/>
    <n v="999"/>
  </r>
  <r>
    <x v="15"/>
    <x v="6"/>
    <n v="401"/>
  </r>
  <r>
    <x v="15"/>
    <x v="9"/>
    <n v="366"/>
  </r>
  <r>
    <x v="15"/>
    <x v="4"/>
    <n v="295"/>
  </r>
  <r>
    <x v="15"/>
    <x v="8"/>
    <n v="272"/>
  </r>
  <r>
    <x v="15"/>
    <x v="33"/>
    <n v="269"/>
  </r>
  <r>
    <x v="15"/>
    <x v="23"/>
    <n v="264"/>
  </r>
  <r>
    <x v="15"/>
    <x v="5"/>
    <n v="259"/>
  </r>
  <r>
    <x v="15"/>
    <x v="2"/>
    <n v="259"/>
  </r>
  <r>
    <x v="15"/>
    <x v="26"/>
    <n v="224"/>
  </r>
  <r>
    <x v="15"/>
    <x v="10"/>
    <n v="220"/>
  </r>
  <r>
    <x v="15"/>
    <x v="1"/>
    <n v="212"/>
  </r>
  <r>
    <x v="15"/>
    <x v="17"/>
    <n v="204"/>
  </r>
  <r>
    <x v="15"/>
    <x v="43"/>
    <n v="188"/>
  </r>
  <r>
    <x v="15"/>
    <x v="49"/>
    <n v="177"/>
  </r>
  <r>
    <x v="15"/>
    <x v="46"/>
    <n v="168"/>
  </r>
  <r>
    <x v="15"/>
    <x v="34"/>
    <n v="150"/>
  </r>
  <r>
    <x v="15"/>
    <x v="7"/>
    <n v="146"/>
  </r>
  <r>
    <x v="15"/>
    <x v="44"/>
    <n v="144"/>
  </r>
  <r>
    <x v="15"/>
    <x v="13"/>
    <n v="137"/>
  </r>
  <r>
    <x v="15"/>
    <x v="36"/>
    <n v="133"/>
  </r>
  <r>
    <x v="15"/>
    <x v="11"/>
    <n v="116"/>
  </r>
  <r>
    <x v="15"/>
    <x v="27"/>
    <n v="88"/>
  </r>
  <r>
    <x v="15"/>
    <x v="37"/>
    <n v="81"/>
  </r>
  <r>
    <x v="15"/>
    <x v="24"/>
    <n v="80"/>
  </r>
  <r>
    <x v="15"/>
    <x v="50"/>
    <n v="72"/>
  </r>
  <r>
    <x v="15"/>
    <x v="51"/>
    <n v="68"/>
  </r>
  <r>
    <x v="15"/>
    <x v="38"/>
    <n v="57"/>
  </r>
  <r>
    <x v="15"/>
    <x v="48"/>
    <n v="51"/>
  </r>
  <r>
    <x v="15"/>
    <x v="31"/>
    <n v="37"/>
  </r>
  <r>
    <x v="15"/>
    <x v="35"/>
    <n v="31"/>
  </r>
  <r>
    <x v="16"/>
    <x v="0"/>
    <n v="1005"/>
  </r>
  <r>
    <x v="16"/>
    <x v="6"/>
    <n v="465"/>
  </r>
  <r>
    <x v="16"/>
    <x v="9"/>
    <n v="352"/>
  </r>
  <r>
    <x v="16"/>
    <x v="2"/>
    <n v="345"/>
  </r>
  <r>
    <x v="16"/>
    <x v="4"/>
    <n v="325"/>
  </r>
  <r>
    <x v="16"/>
    <x v="23"/>
    <n v="298"/>
  </r>
  <r>
    <x v="16"/>
    <x v="8"/>
    <n v="281"/>
  </r>
  <r>
    <x v="16"/>
    <x v="5"/>
    <n v="273"/>
  </r>
  <r>
    <x v="16"/>
    <x v="26"/>
    <n v="253"/>
  </r>
  <r>
    <x v="16"/>
    <x v="17"/>
    <n v="250"/>
  </r>
  <r>
    <x v="16"/>
    <x v="33"/>
    <n v="248"/>
  </r>
  <r>
    <x v="16"/>
    <x v="10"/>
    <n v="246"/>
  </r>
  <r>
    <x v="16"/>
    <x v="1"/>
    <n v="216"/>
  </r>
  <r>
    <x v="16"/>
    <x v="49"/>
    <n v="203"/>
  </r>
  <r>
    <x v="16"/>
    <x v="43"/>
    <n v="185"/>
  </r>
  <r>
    <x v="16"/>
    <x v="44"/>
    <n v="184"/>
  </r>
  <r>
    <x v="16"/>
    <x v="46"/>
    <n v="182"/>
  </r>
  <r>
    <x v="16"/>
    <x v="13"/>
    <n v="158"/>
  </r>
  <r>
    <x v="16"/>
    <x v="7"/>
    <n v="156"/>
  </r>
  <r>
    <x v="16"/>
    <x v="34"/>
    <n v="144"/>
  </r>
  <r>
    <x v="16"/>
    <x v="36"/>
    <n v="128"/>
  </r>
  <r>
    <x v="16"/>
    <x v="11"/>
    <n v="125"/>
  </r>
  <r>
    <x v="16"/>
    <x v="27"/>
    <n v="95"/>
  </r>
  <r>
    <x v="16"/>
    <x v="37"/>
    <n v="89"/>
  </r>
  <r>
    <x v="16"/>
    <x v="51"/>
    <n v="85"/>
  </r>
  <r>
    <x v="16"/>
    <x v="24"/>
    <n v="81"/>
  </r>
  <r>
    <x v="16"/>
    <x v="48"/>
    <n v="72"/>
  </r>
  <r>
    <x v="16"/>
    <x v="38"/>
    <n v="66"/>
  </r>
  <r>
    <x v="16"/>
    <x v="31"/>
    <n v="48"/>
  </r>
  <r>
    <x v="16"/>
    <x v="35"/>
    <n v="41"/>
  </r>
  <r>
    <x v="17"/>
    <x v="0"/>
    <n v="1305"/>
  </r>
  <r>
    <x v="17"/>
    <x v="6"/>
    <n v="524"/>
  </r>
  <r>
    <x v="17"/>
    <x v="9"/>
    <n v="437"/>
  </r>
  <r>
    <x v="17"/>
    <x v="2"/>
    <n v="396"/>
  </r>
  <r>
    <x v="17"/>
    <x v="8"/>
    <n v="381"/>
  </r>
  <r>
    <x v="17"/>
    <x v="4"/>
    <n v="359"/>
  </r>
  <r>
    <x v="17"/>
    <x v="23"/>
    <n v="339"/>
  </r>
  <r>
    <x v="17"/>
    <x v="44"/>
    <n v="329"/>
  </r>
  <r>
    <x v="17"/>
    <x v="10"/>
    <n v="319"/>
  </r>
  <r>
    <x v="17"/>
    <x v="5"/>
    <n v="299"/>
  </r>
  <r>
    <x v="17"/>
    <x v="26"/>
    <n v="263"/>
  </r>
  <r>
    <x v="17"/>
    <x v="45"/>
    <n v="243"/>
  </r>
  <r>
    <x v="17"/>
    <x v="17"/>
    <n v="235"/>
  </r>
  <r>
    <x v="17"/>
    <x v="49"/>
    <n v="231"/>
  </r>
  <r>
    <x v="17"/>
    <x v="1"/>
    <n v="229"/>
  </r>
  <r>
    <x v="17"/>
    <x v="33"/>
    <n v="207"/>
  </r>
  <r>
    <x v="17"/>
    <x v="43"/>
    <n v="189"/>
  </r>
  <r>
    <x v="17"/>
    <x v="7"/>
    <n v="185"/>
  </r>
  <r>
    <x v="17"/>
    <x v="11"/>
    <n v="179"/>
  </r>
  <r>
    <x v="17"/>
    <x v="13"/>
    <n v="175"/>
  </r>
  <r>
    <x v="17"/>
    <x v="34"/>
    <n v="152"/>
  </r>
  <r>
    <x v="17"/>
    <x v="50"/>
    <n v="148"/>
  </r>
  <r>
    <x v="17"/>
    <x v="46"/>
    <n v="140"/>
  </r>
  <r>
    <x v="17"/>
    <x v="36"/>
    <n v="115"/>
  </r>
  <r>
    <x v="17"/>
    <x v="16"/>
    <n v="95"/>
  </r>
  <r>
    <x v="17"/>
    <x v="24"/>
    <n v="91"/>
  </r>
  <r>
    <x v="17"/>
    <x v="51"/>
    <n v="81"/>
  </r>
  <r>
    <x v="17"/>
    <x v="37"/>
    <n v="77"/>
  </r>
  <r>
    <x v="17"/>
    <x v="27"/>
    <n v="65"/>
  </r>
  <r>
    <x v="17"/>
    <x v="48"/>
    <n v="62"/>
  </r>
  <r>
    <x v="17"/>
    <x v="38"/>
    <n v="62"/>
  </r>
  <r>
    <x v="17"/>
    <x v="31"/>
    <n v="59"/>
  </r>
  <r>
    <x v="17"/>
    <x v="35"/>
    <n v="39"/>
  </r>
  <r>
    <x v="18"/>
    <x v="0"/>
    <n v="996"/>
  </r>
  <r>
    <x v="18"/>
    <x v="9"/>
    <n v="591"/>
  </r>
  <r>
    <x v="18"/>
    <x v="6"/>
    <n v="465"/>
  </r>
  <r>
    <x v="18"/>
    <x v="2"/>
    <n v="343"/>
  </r>
  <r>
    <x v="18"/>
    <x v="8"/>
    <n v="324"/>
  </r>
  <r>
    <x v="18"/>
    <x v="4"/>
    <n v="289"/>
  </r>
  <r>
    <x v="18"/>
    <x v="5"/>
    <n v="279"/>
  </r>
  <r>
    <x v="18"/>
    <x v="23"/>
    <n v="261"/>
  </r>
  <r>
    <x v="18"/>
    <x v="10"/>
    <n v="255"/>
  </r>
  <r>
    <x v="18"/>
    <x v="44"/>
    <n v="245"/>
  </r>
  <r>
    <x v="18"/>
    <x v="45"/>
    <n v="243"/>
  </r>
  <r>
    <x v="18"/>
    <x v="33"/>
    <n v="217"/>
  </r>
  <r>
    <x v="18"/>
    <x v="49"/>
    <n v="216"/>
  </r>
  <r>
    <x v="18"/>
    <x v="43"/>
    <n v="212"/>
  </r>
  <r>
    <x v="18"/>
    <x v="17"/>
    <n v="202"/>
  </r>
  <r>
    <x v="18"/>
    <x v="46"/>
    <n v="178"/>
  </r>
  <r>
    <x v="18"/>
    <x v="1"/>
    <n v="176"/>
  </r>
  <r>
    <x v="18"/>
    <x v="7"/>
    <n v="173"/>
  </r>
  <r>
    <x v="18"/>
    <x v="26"/>
    <n v="172"/>
  </r>
  <r>
    <x v="18"/>
    <x v="34"/>
    <n v="164"/>
  </r>
  <r>
    <x v="18"/>
    <x v="11"/>
    <n v="134"/>
  </r>
  <r>
    <x v="18"/>
    <x v="50"/>
    <n v="133"/>
  </r>
  <r>
    <x v="18"/>
    <x v="13"/>
    <n v="131"/>
  </r>
  <r>
    <x v="18"/>
    <x v="36"/>
    <n v="109"/>
  </r>
  <r>
    <x v="18"/>
    <x v="27"/>
    <n v="104"/>
  </r>
  <r>
    <x v="18"/>
    <x v="51"/>
    <n v="93"/>
  </r>
  <r>
    <x v="18"/>
    <x v="37"/>
    <n v="92"/>
  </r>
  <r>
    <x v="18"/>
    <x v="24"/>
    <n v="79"/>
  </r>
  <r>
    <x v="18"/>
    <x v="48"/>
    <n v="74"/>
  </r>
  <r>
    <x v="18"/>
    <x v="16"/>
    <n v="63"/>
  </r>
  <r>
    <x v="18"/>
    <x v="38"/>
    <n v="62"/>
  </r>
  <r>
    <x v="18"/>
    <x v="31"/>
    <n v="47"/>
  </r>
  <r>
    <x v="18"/>
    <x v="35"/>
    <n v="34"/>
  </r>
  <r>
    <x v="19"/>
    <x v="0"/>
    <n v="924"/>
  </r>
  <r>
    <x v="19"/>
    <x v="9"/>
    <n v="470"/>
  </r>
  <r>
    <x v="19"/>
    <x v="6"/>
    <n v="323"/>
  </r>
  <r>
    <x v="19"/>
    <x v="8"/>
    <n v="255"/>
  </r>
  <r>
    <x v="19"/>
    <x v="23"/>
    <n v="254"/>
  </r>
  <r>
    <x v="19"/>
    <x v="17"/>
    <n v="242"/>
  </r>
  <r>
    <x v="19"/>
    <x v="33"/>
    <n v="239"/>
  </r>
  <r>
    <x v="19"/>
    <x v="2"/>
    <n v="237"/>
  </r>
  <r>
    <x v="19"/>
    <x v="4"/>
    <n v="221"/>
  </r>
  <r>
    <x v="19"/>
    <x v="45"/>
    <n v="217"/>
  </r>
  <r>
    <x v="19"/>
    <x v="43"/>
    <n v="214"/>
  </r>
  <r>
    <x v="19"/>
    <x v="49"/>
    <n v="195"/>
  </r>
  <r>
    <x v="19"/>
    <x v="5"/>
    <n v="186"/>
  </r>
  <r>
    <x v="19"/>
    <x v="26"/>
    <n v="186"/>
  </r>
  <r>
    <x v="19"/>
    <x v="44"/>
    <n v="179"/>
  </r>
  <r>
    <x v="19"/>
    <x v="46"/>
    <n v="174"/>
  </r>
  <r>
    <x v="19"/>
    <x v="50"/>
    <n v="166"/>
  </r>
  <r>
    <x v="19"/>
    <x v="7"/>
    <n v="164"/>
  </r>
  <r>
    <x v="19"/>
    <x v="10"/>
    <n v="156"/>
  </r>
  <r>
    <x v="19"/>
    <x v="13"/>
    <n v="132"/>
  </r>
  <r>
    <x v="19"/>
    <x v="34"/>
    <n v="130"/>
  </r>
  <r>
    <x v="19"/>
    <x v="36"/>
    <n v="128"/>
  </r>
  <r>
    <x v="19"/>
    <x v="1"/>
    <n v="127"/>
  </r>
  <r>
    <x v="19"/>
    <x v="27"/>
    <n v="84"/>
  </r>
  <r>
    <x v="19"/>
    <x v="51"/>
    <n v="79"/>
  </r>
  <r>
    <x v="19"/>
    <x v="37"/>
    <n v="78"/>
  </r>
  <r>
    <x v="19"/>
    <x v="48"/>
    <n v="73"/>
  </r>
  <r>
    <x v="19"/>
    <x v="11"/>
    <n v="68"/>
  </r>
  <r>
    <x v="19"/>
    <x v="16"/>
    <n v="67"/>
  </r>
  <r>
    <x v="19"/>
    <x v="24"/>
    <n v="66"/>
  </r>
  <r>
    <x v="19"/>
    <x v="38"/>
    <n v="55"/>
  </r>
  <r>
    <x v="19"/>
    <x v="31"/>
    <n v="43"/>
  </r>
  <r>
    <x v="19"/>
    <x v="35"/>
    <n v="31"/>
  </r>
  <r>
    <x v="20"/>
    <x v="0"/>
    <n v="1240"/>
  </r>
  <r>
    <x v="20"/>
    <x v="6"/>
    <n v="479"/>
  </r>
  <r>
    <x v="20"/>
    <x v="9"/>
    <n v="446"/>
  </r>
  <r>
    <x v="20"/>
    <x v="2"/>
    <n v="439"/>
  </r>
  <r>
    <x v="20"/>
    <x v="4"/>
    <n v="348"/>
  </r>
  <r>
    <x v="20"/>
    <x v="23"/>
    <n v="322"/>
  </r>
  <r>
    <x v="20"/>
    <x v="10"/>
    <n v="288"/>
  </r>
  <r>
    <x v="20"/>
    <x v="26"/>
    <n v="286"/>
  </r>
  <r>
    <x v="20"/>
    <x v="8"/>
    <n v="258"/>
  </r>
  <r>
    <x v="20"/>
    <x v="5"/>
    <n v="257"/>
  </r>
  <r>
    <x v="20"/>
    <x v="45"/>
    <n v="257"/>
  </r>
  <r>
    <x v="20"/>
    <x v="33"/>
    <n v="239"/>
  </r>
  <r>
    <x v="20"/>
    <x v="17"/>
    <n v="225"/>
  </r>
  <r>
    <x v="20"/>
    <x v="46"/>
    <n v="218"/>
  </r>
  <r>
    <x v="20"/>
    <x v="43"/>
    <n v="213"/>
  </r>
  <r>
    <x v="20"/>
    <x v="49"/>
    <n v="208"/>
  </r>
  <r>
    <x v="20"/>
    <x v="50"/>
    <n v="203"/>
  </r>
  <r>
    <x v="20"/>
    <x v="44"/>
    <n v="191"/>
  </r>
  <r>
    <x v="20"/>
    <x v="7"/>
    <n v="181"/>
  </r>
  <r>
    <x v="20"/>
    <x v="34"/>
    <n v="179"/>
  </r>
  <r>
    <x v="20"/>
    <x v="11"/>
    <n v="156"/>
  </r>
  <r>
    <x v="20"/>
    <x v="13"/>
    <n v="153"/>
  </r>
  <r>
    <x v="20"/>
    <x v="36"/>
    <n v="138"/>
  </r>
  <r>
    <x v="20"/>
    <x v="1"/>
    <n v="136"/>
  </r>
  <r>
    <x v="20"/>
    <x v="27"/>
    <n v="114"/>
  </r>
  <r>
    <x v="20"/>
    <x v="37"/>
    <n v="111"/>
  </r>
  <r>
    <x v="20"/>
    <x v="16"/>
    <n v="109"/>
  </r>
  <r>
    <x v="20"/>
    <x v="48"/>
    <n v="94"/>
  </r>
  <r>
    <x v="20"/>
    <x v="51"/>
    <n v="80"/>
  </r>
  <r>
    <x v="20"/>
    <x v="24"/>
    <n v="78"/>
  </r>
  <r>
    <x v="20"/>
    <x v="38"/>
    <n v="65"/>
  </r>
  <r>
    <x v="20"/>
    <x v="31"/>
    <n v="50"/>
  </r>
  <r>
    <x v="20"/>
    <x v="52"/>
    <n v="47"/>
  </r>
  <r>
    <x v="20"/>
    <x v="53"/>
    <n v="33"/>
  </r>
  <r>
    <x v="20"/>
    <x v="35"/>
    <n v="28"/>
  </r>
  <r>
    <x v="21"/>
    <x v="0"/>
    <n v="1587"/>
  </r>
  <r>
    <x v="21"/>
    <x v="6"/>
    <n v="629"/>
  </r>
  <r>
    <x v="21"/>
    <x v="9"/>
    <n v="591"/>
  </r>
  <r>
    <x v="21"/>
    <x v="4"/>
    <n v="414"/>
  </r>
  <r>
    <x v="21"/>
    <x v="23"/>
    <n v="413"/>
  </r>
  <r>
    <x v="21"/>
    <x v="8"/>
    <n v="411"/>
  </r>
  <r>
    <x v="21"/>
    <x v="2"/>
    <n v="392"/>
  </r>
  <r>
    <x v="21"/>
    <x v="10"/>
    <n v="372"/>
  </r>
  <r>
    <x v="21"/>
    <x v="5"/>
    <n v="314"/>
  </r>
  <r>
    <x v="21"/>
    <x v="26"/>
    <n v="314"/>
  </r>
  <r>
    <x v="21"/>
    <x v="45"/>
    <n v="280"/>
  </r>
  <r>
    <x v="21"/>
    <x v="44"/>
    <n v="272"/>
  </r>
  <r>
    <x v="21"/>
    <x v="17"/>
    <n v="270"/>
  </r>
  <r>
    <x v="21"/>
    <x v="46"/>
    <n v="269"/>
  </r>
  <r>
    <x v="21"/>
    <x v="33"/>
    <n v="265"/>
  </r>
  <r>
    <x v="21"/>
    <x v="49"/>
    <n v="239"/>
  </r>
  <r>
    <x v="21"/>
    <x v="50"/>
    <n v="237"/>
  </r>
  <r>
    <x v="21"/>
    <x v="43"/>
    <n v="233"/>
  </r>
  <r>
    <x v="21"/>
    <x v="7"/>
    <n v="222"/>
  </r>
  <r>
    <x v="21"/>
    <x v="34"/>
    <n v="198"/>
  </r>
  <r>
    <x v="21"/>
    <x v="11"/>
    <n v="181"/>
  </r>
  <r>
    <x v="21"/>
    <x v="1"/>
    <n v="179"/>
  </r>
  <r>
    <x v="21"/>
    <x v="13"/>
    <n v="156"/>
  </r>
  <r>
    <x v="21"/>
    <x v="16"/>
    <n v="145"/>
  </r>
  <r>
    <x v="21"/>
    <x v="36"/>
    <n v="141"/>
  </r>
  <r>
    <x v="21"/>
    <x v="37"/>
    <n v="133"/>
  </r>
  <r>
    <x v="21"/>
    <x v="27"/>
    <n v="127"/>
  </r>
  <r>
    <x v="21"/>
    <x v="54"/>
    <n v="127"/>
  </r>
  <r>
    <x v="21"/>
    <x v="3"/>
    <n v="127"/>
  </r>
  <r>
    <x v="21"/>
    <x v="48"/>
    <n v="90"/>
  </r>
  <r>
    <x v="21"/>
    <x v="51"/>
    <n v="90"/>
  </r>
  <r>
    <x v="21"/>
    <x v="24"/>
    <n v="89"/>
  </r>
  <r>
    <x v="21"/>
    <x v="38"/>
    <n v="65"/>
  </r>
  <r>
    <x v="21"/>
    <x v="31"/>
    <n v="63"/>
  </r>
  <r>
    <x v="21"/>
    <x v="52"/>
    <n v="46"/>
  </r>
  <r>
    <x v="21"/>
    <x v="35"/>
    <n v="44"/>
  </r>
  <r>
    <x v="21"/>
    <x v="53"/>
    <n v="39"/>
  </r>
  <r>
    <x v="22"/>
    <x v="0"/>
    <n v="1704"/>
  </r>
  <r>
    <x v="22"/>
    <x v="6"/>
    <n v="638"/>
  </r>
  <r>
    <x v="22"/>
    <x v="9"/>
    <n v="621"/>
  </r>
  <r>
    <x v="22"/>
    <x v="4"/>
    <n v="442"/>
  </r>
  <r>
    <x v="22"/>
    <x v="44"/>
    <n v="437"/>
  </r>
  <r>
    <x v="22"/>
    <x v="10"/>
    <n v="437"/>
  </r>
  <r>
    <x v="22"/>
    <x v="50"/>
    <n v="427"/>
  </r>
  <r>
    <x v="22"/>
    <x v="2"/>
    <n v="405"/>
  </r>
  <r>
    <x v="22"/>
    <x v="8"/>
    <n v="370"/>
  </r>
  <r>
    <x v="22"/>
    <x v="23"/>
    <n v="336"/>
  </r>
  <r>
    <x v="22"/>
    <x v="46"/>
    <n v="320"/>
  </r>
  <r>
    <x v="22"/>
    <x v="26"/>
    <n v="314"/>
  </r>
  <r>
    <x v="22"/>
    <x v="5"/>
    <n v="304"/>
  </r>
  <r>
    <x v="22"/>
    <x v="45"/>
    <n v="292"/>
  </r>
  <r>
    <x v="22"/>
    <x v="17"/>
    <n v="272"/>
  </r>
  <r>
    <x v="22"/>
    <x v="33"/>
    <n v="267"/>
  </r>
  <r>
    <x v="22"/>
    <x v="7"/>
    <n v="244"/>
  </r>
  <r>
    <x v="22"/>
    <x v="43"/>
    <n v="235"/>
  </r>
  <r>
    <x v="22"/>
    <x v="49"/>
    <n v="231"/>
  </r>
  <r>
    <x v="22"/>
    <x v="34"/>
    <n v="223"/>
  </r>
  <r>
    <x v="22"/>
    <x v="11"/>
    <n v="215"/>
  </r>
  <r>
    <x v="22"/>
    <x v="48"/>
    <n v="196"/>
  </r>
  <r>
    <x v="22"/>
    <x v="1"/>
    <n v="185"/>
  </r>
  <r>
    <x v="22"/>
    <x v="55"/>
    <n v="177"/>
  </r>
  <r>
    <x v="22"/>
    <x v="3"/>
    <n v="177"/>
  </r>
  <r>
    <x v="22"/>
    <x v="37"/>
    <n v="158"/>
  </r>
  <r>
    <x v="22"/>
    <x v="56"/>
    <n v="157"/>
  </r>
  <r>
    <x v="22"/>
    <x v="54"/>
    <n v="157"/>
  </r>
  <r>
    <x v="22"/>
    <x v="36"/>
    <n v="154"/>
  </r>
  <r>
    <x v="22"/>
    <x v="13"/>
    <n v="152"/>
  </r>
  <r>
    <x v="22"/>
    <x v="16"/>
    <n v="135"/>
  </r>
  <r>
    <x v="22"/>
    <x v="27"/>
    <n v="133"/>
  </r>
  <r>
    <x v="22"/>
    <x v="24"/>
    <n v="100"/>
  </r>
  <r>
    <x v="22"/>
    <x v="51"/>
    <n v="89"/>
  </r>
  <r>
    <x v="22"/>
    <x v="57"/>
    <n v="85"/>
  </r>
  <r>
    <x v="22"/>
    <x v="58"/>
    <n v="71"/>
  </r>
  <r>
    <x v="22"/>
    <x v="31"/>
    <n v="66"/>
  </r>
  <r>
    <x v="22"/>
    <x v="38"/>
    <n v="63"/>
  </r>
  <r>
    <x v="22"/>
    <x v="52"/>
    <n v="53"/>
  </r>
  <r>
    <x v="22"/>
    <x v="35"/>
    <n v="46"/>
  </r>
  <r>
    <x v="22"/>
    <x v="53"/>
    <n v="42"/>
  </r>
  <r>
    <x v="23"/>
    <x v="33"/>
    <n v="268"/>
  </r>
  <r>
    <x v="23"/>
    <x v="46"/>
    <n v="249"/>
  </r>
  <r>
    <x v="23"/>
    <x v="34"/>
    <n v="197"/>
  </r>
  <r>
    <x v="23"/>
    <x v="48"/>
    <n v="193"/>
  </r>
  <r>
    <x v="23"/>
    <x v="37"/>
    <n v="153"/>
  </r>
  <r>
    <x v="23"/>
    <x v="36"/>
    <n v="150"/>
  </r>
  <r>
    <x v="23"/>
    <x v="27"/>
    <n v="128"/>
  </r>
  <r>
    <x v="23"/>
    <x v="58"/>
    <n v="97"/>
  </r>
  <r>
    <x v="23"/>
    <x v="51"/>
    <n v="92"/>
  </r>
  <r>
    <x v="23"/>
    <x v="57"/>
    <n v="86"/>
  </r>
  <r>
    <x v="23"/>
    <x v="38"/>
    <n v="68"/>
  </r>
  <r>
    <x v="23"/>
    <x v="35"/>
    <n v="53"/>
  </r>
  <r>
    <x v="24"/>
    <x v="0"/>
    <n v="2042"/>
  </r>
  <r>
    <x v="24"/>
    <x v="6"/>
    <n v="759"/>
  </r>
  <r>
    <x v="24"/>
    <x v="9"/>
    <n v="608"/>
  </r>
  <r>
    <x v="24"/>
    <x v="4"/>
    <n v="477"/>
  </r>
  <r>
    <x v="24"/>
    <x v="10"/>
    <n v="456"/>
  </r>
  <r>
    <x v="24"/>
    <x v="44"/>
    <n v="449"/>
  </r>
  <r>
    <x v="24"/>
    <x v="2"/>
    <n v="419"/>
  </r>
  <r>
    <x v="24"/>
    <x v="8"/>
    <n v="400"/>
  </r>
  <r>
    <x v="24"/>
    <x v="17"/>
    <n v="387"/>
  </r>
  <r>
    <x v="24"/>
    <x v="50"/>
    <n v="387"/>
  </r>
  <r>
    <x v="24"/>
    <x v="23"/>
    <n v="355"/>
  </r>
  <r>
    <x v="24"/>
    <x v="26"/>
    <n v="320"/>
  </r>
  <r>
    <x v="24"/>
    <x v="45"/>
    <n v="299"/>
  </r>
  <r>
    <x v="24"/>
    <x v="43"/>
    <n v="283"/>
  </r>
  <r>
    <x v="24"/>
    <x v="49"/>
    <n v="275"/>
  </r>
  <r>
    <x v="24"/>
    <x v="7"/>
    <n v="243"/>
  </r>
  <r>
    <x v="24"/>
    <x v="5"/>
    <n v="224"/>
  </r>
  <r>
    <x v="24"/>
    <x v="11"/>
    <n v="219"/>
  </r>
  <r>
    <x v="24"/>
    <x v="1"/>
    <n v="216"/>
  </r>
  <r>
    <x v="24"/>
    <x v="55"/>
    <n v="192"/>
  </r>
  <r>
    <x v="24"/>
    <x v="3"/>
    <n v="176"/>
  </r>
  <r>
    <x v="24"/>
    <x v="54"/>
    <n v="165"/>
  </r>
  <r>
    <x v="24"/>
    <x v="56"/>
    <n v="160"/>
  </r>
  <r>
    <x v="24"/>
    <x v="13"/>
    <n v="153"/>
  </r>
  <r>
    <x v="24"/>
    <x v="16"/>
    <n v="128"/>
  </r>
  <r>
    <x v="24"/>
    <x v="24"/>
    <n v="122"/>
  </r>
  <r>
    <x v="24"/>
    <x v="59"/>
    <n v="120"/>
  </r>
  <r>
    <x v="24"/>
    <x v="53"/>
    <n v="90"/>
  </r>
  <r>
    <x v="24"/>
    <x v="60"/>
    <n v="84"/>
  </r>
  <r>
    <x v="24"/>
    <x v="52"/>
    <n v="72"/>
  </r>
  <r>
    <x v="24"/>
    <x v="31"/>
    <n v="32"/>
  </r>
  <r>
    <x v="25"/>
    <x v="33"/>
    <n v="425"/>
  </r>
  <r>
    <x v="25"/>
    <x v="46"/>
    <n v="248"/>
  </r>
  <r>
    <x v="25"/>
    <x v="34"/>
    <n v="227"/>
  </r>
  <r>
    <x v="25"/>
    <x v="48"/>
    <n v="183"/>
  </r>
  <r>
    <x v="25"/>
    <x v="36"/>
    <n v="171"/>
  </r>
  <r>
    <x v="25"/>
    <x v="37"/>
    <n v="154"/>
  </r>
  <r>
    <x v="25"/>
    <x v="27"/>
    <n v="145"/>
  </r>
  <r>
    <x v="25"/>
    <x v="61"/>
    <n v="125"/>
  </r>
  <r>
    <x v="25"/>
    <x v="58"/>
    <n v="110"/>
  </r>
  <r>
    <x v="25"/>
    <x v="57"/>
    <n v="94"/>
  </r>
  <r>
    <x v="25"/>
    <x v="51"/>
    <n v="93"/>
  </r>
  <r>
    <x v="25"/>
    <x v="40"/>
    <n v="80"/>
  </r>
  <r>
    <x v="25"/>
    <x v="38"/>
    <n v="68"/>
  </r>
  <r>
    <x v="25"/>
    <x v="35"/>
    <n v="53"/>
  </r>
  <r>
    <x v="26"/>
    <x v="0"/>
    <n v="2135"/>
  </r>
  <r>
    <x v="26"/>
    <x v="6"/>
    <n v="954"/>
  </r>
  <r>
    <x v="26"/>
    <x v="9"/>
    <n v="547"/>
  </r>
  <r>
    <x v="26"/>
    <x v="4"/>
    <n v="461"/>
  </r>
  <r>
    <x v="26"/>
    <x v="2"/>
    <n v="408"/>
  </r>
  <r>
    <x v="26"/>
    <x v="10"/>
    <n v="401"/>
  </r>
  <r>
    <x v="26"/>
    <x v="50"/>
    <n v="398"/>
  </r>
  <r>
    <x v="26"/>
    <x v="17"/>
    <n v="390"/>
  </r>
  <r>
    <x v="26"/>
    <x v="26"/>
    <n v="350"/>
  </r>
  <r>
    <x v="26"/>
    <x v="44"/>
    <n v="330"/>
  </r>
  <r>
    <x v="26"/>
    <x v="45"/>
    <n v="323"/>
  </r>
  <r>
    <x v="26"/>
    <x v="8"/>
    <n v="314"/>
  </r>
  <r>
    <x v="26"/>
    <x v="23"/>
    <n v="307"/>
  </r>
  <r>
    <x v="26"/>
    <x v="43"/>
    <n v="286"/>
  </r>
  <r>
    <x v="26"/>
    <x v="49"/>
    <n v="279"/>
  </r>
  <r>
    <x v="26"/>
    <x v="7"/>
    <n v="246"/>
  </r>
  <r>
    <x v="26"/>
    <x v="13"/>
    <n v="231"/>
  </r>
  <r>
    <x v="26"/>
    <x v="5"/>
    <n v="217"/>
  </r>
  <r>
    <x v="26"/>
    <x v="11"/>
    <n v="195"/>
  </r>
  <r>
    <x v="26"/>
    <x v="1"/>
    <n v="194"/>
  </r>
  <r>
    <x v="26"/>
    <x v="56"/>
    <n v="192"/>
  </r>
  <r>
    <x v="26"/>
    <x v="3"/>
    <n v="182"/>
  </r>
  <r>
    <x v="26"/>
    <x v="55"/>
    <n v="171"/>
  </r>
  <r>
    <x v="26"/>
    <x v="54"/>
    <n v="170"/>
  </r>
  <r>
    <x v="26"/>
    <x v="24"/>
    <n v="157"/>
  </r>
  <r>
    <x v="26"/>
    <x v="16"/>
    <n v="128"/>
  </r>
  <r>
    <x v="26"/>
    <x v="59"/>
    <n v="120"/>
  </r>
  <r>
    <x v="26"/>
    <x v="62"/>
    <n v="102"/>
  </r>
  <r>
    <x v="26"/>
    <x v="52"/>
    <n v="101"/>
  </r>
  <r>
    <x v="26"/>
    <x v="63"/>
    <n v="100"/>
  </r>
  <r>
    <x v="26"/>
    <x v="60"/>
    <n v="95"/>
  </r>
  <r>
    <x v="26"/>
    <x v="53"/>
    <n v="84"/>
  </r>
  <r>
    <x v="26"/>
    <x v="31"/>
    <n v="48"/>
  </r>
  <r>
    <x v="26"/>
    <x v="64"/>
    <n v="24"/>
  </r>
  <r>
    <x v="27"/>
    <x v="33"/>
    <n v="467"/>
  </r>
  <r>
    <x v="27"/>
    <x v="46"/>
    <n v="278"/>
  </r>
  <r>
    <x v="27"/>
    <x v="34"/>
    <n v="260"/>
  </r>
  <r>
    <x v="27"/>
    <x v="37"/>
    <n v="195"/>
  </r>
  <r>
    <x v="27"/>
    <x v="48"/>
    <n v="190"/>
  </r>
  <r>
    <x v="27"/>
    <x v="36"/>
    <n v="166"/>
  </r>
  <r>
    <x v="27"/>
    <x v="27"/>
    <n v="143"/>
  </r>
  <r>
    <x v="27"/>
    <x v="61"/>
    <n v="118"/>
  </r>
  <r>
    <x v="27"/>
    <x v="57"/>
    <n v="111"/>
  </r>
  <r>
    <x v="27"/>
    <x v="51"/>
    <n v="110"/>
  </r>
  <r>
    <x v="27"/>
    <x v="58"/>
    <n v="105"/>
  </r>
  <r>
    <x v="27"/>
    <x v="40"/>
    <n v="94"/>
  </r>
  <r>
    <x v="27"/>
    <x v="38"/>
    <n v="73"/>
  </r>
  <r>
    <x v="27"/>
    <x v="35"/>
    <n v="54"/>
  </r>
  <r>
    <x v="27"/>
    <x v="42"/>
    <n v="38"/>
  </r>
  <r>
    <x v="28"/>
    <x v="0"/>
    <n v="1993"/>
  </r>
  <r>
    <x v="28"/>
    <x v="6"/>
    <n v="937"/>
  </r>
  <r>
    <x v="28"/>
    <x v="9"/>
    <n v="557"/>
  </r>
  <r>
    <x v="28"/>
    <x v="4"/>
    <n v="464"/>
  </r>
  <r>
    <x v="28"/>
    <x v="17"/>
    <n v="424"/>
  </r>
  <r>
    <x v="28"/>
    <x v="10"/>
    <n v="400"/>
  </r>
  <r>
    <x v="28"/>
    <x v="2"/>
    <n v="390"/>
  </r>
  <r>
    <x v="28"/>
    <x v="50"/>
    <n v="384"/>
  </r>
  <r>
    <x v="28"/>
    <x v="26"/>
    <n v="352"/>
  </r>
  <r>
    <x v="28"/>
    <x v="8"/>
    <n v="342"/>
  </r>
  <r>
    <x v="28"/>
    <x v="44"/>
    <n v="328"/>
  </r>
  <r>
    <x v="28"/>
    <x v="45"/>
    <n v="328"/>
  </r>
  <r>
    <x v="28"/>
    <x v="43"/>
    <n v="286"/>
  </r>
  <r>
    <x v="28"/>
    <x v="49"/>
    <n v="283"/>
  </r>
  <r>
    <x v="28"/>
    <x v="23"/>
    <n v="280"/>
  </r>
  <r>
    <x v="28"/>
    <x v="13"/>
    <n v="255"/>
  </r>
  <r>
    <x v="28"/>
    <x v="7"/>
    <n v="249"/>
  </r>
  <r>
    <x v="28"/>
    <x v="5"/>
    <n v="222"/>
  </r>
  <r>
    <x v="28"/>
    <x v="11"/>
    <n v="203"/>
  </r>
  <r>
    <x v="28"/>
    <x v="1"/>
    <n v="196"/>
  </r>
  <r>
    <x v="28"/>
    <x v="56"/>
    <n v="191"/>
  </r>
  <r>
    <x v="28"/>
    <x v="55"/>
    <n v="172"/>
  </r>
  <r>
    <x v="28"/>
    <x v="54"/>
    <n v="172"/>
  </r>
  <r>
    <x v="28"/>
    <x v="3"/>
    <n v="170"/>
  </r>
  <r>
    <x v="28"/>
    <x v="24"/>
    <n v="129"/>
  </r>
  <r>
    <x v="28"/>
    <x v="16"/>
    <n v="128"/>
  </r>
  <r>
    <x v="28"/>
    <x v="62"/>
    <n v="124"/>
  </r>
  <r>
    <x v="28"/>
    <x v="59"/>
    <n v="118"/>
  </r>
  <r>
    <x v="28"/>
    <x v="52"/>
    <n v="101"/>
  </r>
  <r>
    <x v="28"/>
    <x v="63"/>
    <n v="99"/>
  </r>
  <r>
    <x v="28"/>
    <x v="60"/>
    <n v="96"/>
  </r>
  <r>
    <x v="28"/>
    <x v="53"/>
    <n v="84"/>
  </r>
  <r>
    <x v="28"/>
    <x v="31"/>
    <n v="64"/>
  </r>
  <r>
    <x v="28"/>
    <x v="64"/>
    <n v="32"/>
  </r>
  <r>
    <x v="29"/>
    <x v="33"/>
    <n v="441"/>
  </r>
  <r>
    <x v="29"/>
    <x v="34"/>
    <n v="307"/>
  </r>
  <r>
    <x v="29"/>
    <x v="46"/>
    <n v="287"/>
  </r>
  <r>
    <x v="29"/>
    <x v="48"/>
    <n v="204"/>
  </r>
  <r>
    <x v="29"/>
    <x v="61"/>
    <n v="187"/>
  </r>
  <r>
    <x v="29"/>
    <x v="36"/>
    <n v="174"/>
  </r>
  <r>
    <x v="29"/>
    <x v="37"/>
    <n v="150"/>
  </r>
  <r>
    <x v="29"/>
    <x v="27"/>
    <n v="147"/>
  </r>
  <r>
    <x v="29"/>
    <x v="58"/>
    <n v="116"/>
  </r>
  <r>
    <x v="29"/>
    <x v="51"/>
    <n v="108"/>
  </r>
  <r>
    <x v="29"/>
    <x v="57"/>
    <n v="106"/>
  </r>
  <r>
    <x v="29"/>
    <x v="40"/>
    <n v="91"/>
  </r>
  <r>
    <x v="29"/>
    <x v="38"/>
    <n v="79"/>
  </r>
  <r>
    <x v="29"/>
    <x v="35"/>
    <n v="59"/>
  </r>
  <r>
    <x v="29"/>
    <x v="42"/>
    <n v="42"/>
  </r>
  <r>
    <x v="30"/>
    <x v="0"/>
    <n v="2053"/>
  </r>
  <r>
    <x v="30"/>
    <x v="6"/>
    <n v="1022"/>
  </r>
  <r>
    <x v="30"/>
    <x v="9"/>
    <n v="555"/>
  </r>
  <r>
    <x v="30"/>
    <x v="4"/>
    <n v="508"/>
  </r>
  <r>
    <x v="30"/>
    <x v="17"/>
    <n v="469"/>
  </r>
  <r>
    <x v="30"/>
    <x v="10"/>
    <n v="400"/>
  </r>
  <r>
    <x v="30"/>
    <x v="2"/>
    <n v="390"/>
  </r>
  <r>
    <x v="30"/>
    <x v="26"/>
    <n v="387"/>
  </r>
  <r>
    <x v="30"/>
    <x v="50"/>
    <n v="386"/>
  </r>
  <r>
    <x v="30"/>
    <x v="45"/>
    <n v="343"/>
  </r>
  <r>
    <x v="30"/>
    <x v="8"/>
    <n v="343"/>
  </r>
  <r>
    <x v="30"/>
    <x v="44"/>
    <n v="330"/>
  </r>
  <r>
    <x v="30"/>
    <x v="43"/>
    <n v="286"/>
  </r>
  <r>
    <x v="30"/>
    <x v="23"/>
    <n v="283"/>
  </r>
  <r>
    <x v="30"/>
    <x v="49"/>
    <n v="283"/>
  </r>
  <r>
    <x v="30"/>
    <x v="13"/>
    <n v="256"/>
  </r>
  <r>
    <x v="30"/>
    <x v="7"/>
    <n v="252"/>
  </r>
  <r>
    <x v="30"/>
    <x v="5"/>
    <n v="234"/>
  </r>
  <r>
    <x v="30"/>
    <x v="1"/>
    <n v="195"/>
  </r>
  <r>
    <x v="30"/>
    <x v="11"/>
    <n v="193"/>
  </r>
  <r>
    <x v="30"/>
    <x v="56"/>
    <n v="191"/>
  </r>
  <r>
    <x v="30"/>
    <x v="55"/>
    <n v="173"/>
  </r>
  <r>
    <x v="30"/>
    <x v="54"/>
    <n v="171"/>
  </r>
  <r>
    <x v="30"/>
    <x v="3"/>
    <n v="169"/>
  </r>
  <r>
    <x v="30"/>
    <x v="24"/>
    <n v="140"/>
  </r>
  <r>
    <x v="30"/>
    <x v="16"/>
    <n v="128"/>
  </r>
  <r>
    <x v="30"/>
    <x v="62"/>
    <n v="126"/>
  </r>
  <r>
    <x v="30"/>
    <x v="59"/>
    <n v="120"/>
  </r>
  <r>
    <x v="30"/>
    <x v="63"/>
    <n v="110"/>
  </r>
  <r>
    <x v="30"/>
    <x v="52"/>
    <n v="102"/>
  </r>
  <r>
    <x v="30"/>
    <x v="60"/>
    <n v="96"/>
  </r>
  <r>
    <x v="30"/>
    <x v="53"/>
    <n v="95"/>
  </r>
  <r>
    <x v="30"/>
    <x v="31"/>
    <n v="72"/>
  </r>
  <r>
    <x v="30"/>
    <x v="64"/>
    <n v="32"/>
  </r>
  <r>
    <x v="31"/>
    <x v="33"/>
    <n v="417"/>
  </r>
  <r>
    <x v="31"/>
    <x v="46"/>
    <n v="309"/>
  </r>
  <r>
    <x v="31"/>
    <x v="34"/>
    <n v="292"/>
  </r>
  <r>
    <x v="31"/>
    <x v="48"/>
    <n v="204"/>
  </r>
  <r>
    <x v="31"/>
    <x v="61"/>
    <n v="185"/>
  </r>
  <r>
    <x v="31"/>
    <x v="36"/>
    <n v="177"/>
  </r>
  <r>
    <x v="31"/>
    <x v="58"/>
    <n v="172"/>
  </r>
  <r>
    <x v="31"/>
    <x v="37"/>
    <n v="159"/>
  </r>
  <r>
    <x v="31"/>
    <x v="27"/>
    <n v="145"/>
  </r>
  <r>
    <x v="31"/>
    <x v="57"/>
    <n v="109"/>
  </r>
  <r>
    <x v="31"/>
    <x v="51"/>
    <n v="107"/>
  </r>
  <r>
    <x v="31"/>
    <x v="40"/>
    <n v="93"/>
  </r>
  <r>
    <x v="31"/>
    <x v="38"/>
    <n v="68"/>
  </r>
  <r>
    <x v="31"/>
    <x v="35"/>
    <n v="52"/>
  </r>
  <r>
    <x v="31"/>
    <x v="42"/>
    <n v="47"/>
  </r>
  <r>
    <x v="32"/>
    <x v="0"/>
    <n v="2075"/>
  </r>
  <r>
    <x v="32"/>
    <x v="6"/>
    <n v="931"/>
  </r>
  <r>
    <x v="32"/>
    <x v="9"/>
    <n v="549"/>
  </r>
  <r>
    <x v="32"/>
    <x v="4"/>
    <n v="501"/>
  </r>
  <r>
    <x v="32"/>
    <x v="17"/>
    <n v="467"/>
  </r>
  <r>
    <x v="32"/>
    <x v="2"/>
    <n v="390"/>
  </r>
  <r>
    <x v="32"/>
    <x v="26"/>
    <n v="387"/>
  </r>
  <r>
    <x v="32"/>
    <x v="50"/>
    <n v="384"/>
  </r>
  <r>
    <x v="32"/>
    <x v="10"/>
    <n v="379"/>
  </r>
  <r>
    <x v="32"/>
    <x v="45"/>
    <n v="347"/>
  </r>
  <r>
    <x v="32"/>
    <x v="8"/>
    <n v="339"/>
  </r>
  <r>
    <x v="32"/>
    <x v="44"/>
    <n v="332"/>
  </r>
  <r>
    <x v="32"/>
    <x v="49"/>
    <n v="287"/>
  </r>
  <r>
    <x v="32"/>
    <x v="43"/>
    <n v="286"/>
  </r>
  <r>
    <x v="32"/>
    <x v="23"/>
    <n v="283"/>
  </r>
  <r>
    <x v="32"/>
    <x v="13"/>
    <n v="257"/>
  </r>
  <r>
    <x v="32"/>
    <x v="7"/>
    <n v="252"/>
  </r>
  <r>
    <x v="32"/>
    <x v="5"/>
    <n v="244"/>
  </r>
  <r>
    <x v="32"/>
    <x v="11"/>
    <n v="198"/>
  </r>
  <r>
    <x v="32"/>
    <x v="1"/>
    <n v="195"/>
  </r>
  <r>
    <x v="32"/>
    <x v="3"/>
    <n v="183"/>
  </r>
  <r>
    <x v="32"/>
    <x v="54"/>
    <n v="174"/>
  </r>
  <r>
    <x v="32"/>
    <x v="55"/>
    <n v="172"/>
  </r>
  <r>
    <x v="32"/>
    <x v="24"/>
    <n v="136"/>
  </r>
  <r>
    <x v="32"/>
    <x v="16"/>
    <n v="128"/>
  </r>
  <r>
    <x v="32"/>
    <x v="62"/>
    <n v="128"/>
  </r>
  <r>
    <x v="32"/>
    <x v="63"/>
    <n v="110"/>
  </r>
  <r>
    <x v="32"/>
    <x v="52"/>
    <n v="101"/>
  </r>
  <r>
    <x v="32"/>
    <x v="60"/>
    <n v="96"/>
  </r>
  <r>
    <x v="32"/>
    <x v="53"/>
    <n v="95"/>
  </r>
  <r>
    <x v="32"/>
    <x v="31"/>
    <n v="72"/>
  </r>
  <r>
    <x v="32"/>
    <x v="64"/>
    <n v="32"/>
  </r>
  <r>
    <x v="33"/>
    <x v="33"/>
    <n v="442"/>
  </r>
  <r>
    <x v="33"/>
    <x v="46"/>
    <n v="314"/>
  </r>
  <r>
    <x v="33"/>
    <x v="34"/>
    <n v="298"/>
  </r>
  <r>
    <x v="33"/>
    <x v="58"/>
    <n v="261"/>
  </r>
  <r>
    <x v="33"/>
    <x v="61"/>
    <n v="237"/>
  </r>
  <r>
    <x v="33"/>
    <x v="48"/>
    <n v="204"/>
  </r>
  <r>
    <x v="33"/>
    <x v="36"/>
    <n v="177"/>
  </r>
  <r>
    <x v="33"/>
    <x v="37"/>
    <n v="172"/>
  </r>
  <r>
    <x v="33"/>
    <x v="27"/>
    <n v="148"/>
  </r>
  <r>
    <x v="33"/>
    <x v="51"/>
    <n v="108"/>
  </r>
  <r>
    <x v="33"/>
    <x v="57"/>
    <n v="106"/>
  </r>
  <r>
    <x v="33"/>
    <x v="38"/>
    <n v="96"/>
  </r>
  <r>
    <x v="33"/>
    <x v="40"/>
    <n v="87"/>
  </r>
  <r>
    <x v="33"/>
    <x v="35"/>
    <n v="54"/>
  </r>
  <r>
    <x v="33"/>
    <x v="42"/>
    <n v="46"/>
  </r>
  <r>
    <x v="34"/>
    <x v="0"/>
    <n v="2265"/>
  </r>
  <r>
    <x v="34"/>
    <x v="6"/>
    <n v="941"/>
  </r>
  <r>
    <x v="34"/>
    <x v="9"/>
    <n v="546"/>
  </r>
  <r>
    <x v="34"/>
    <x v="4"/>
    <n v="513"/>
  </r>
  <r>
    <x v="34"/>
    <x v="17"/>
    <n v="473"/>
  </r>
  <r>
    <x v="34"/>
    <x v="26"/>
    <n v="390"/>
  </r>
  <r>
    <x v="34"/>
    <x v="2"/>
    <n v="390"/>
  </r>
  <r>
    <x v="34"/>
    <x v="50"/>
    <n v="389"/>
  </r>
  <r>
    <x v="34"/>
    <x v="10"/>
    <n v="380"/>
  </r>
  <r>
    <x v="34"/>
    <x v="45"/>
    <n v="353"/>
  </r>
  <r>
    <x v="34"/>
    <x v="8"/>
    <n v="346"/>
  </r>
  <r>
    <x v="34"/>
    <x v="44"/>
    <n v="330"/>
  </r>
  <r>
    <x v="34"/>
    <x v="65"/>
    <n v="299"/>
  </r>
  <r>
    <x v="34"/>
    <x v="23"/>
    <n v="283"/>
  </r>
  <r>
    <x v="34"/>
    <x v="49"/>
    <n v="283"/>
  </r>
  <r>
    <x v="34"/>
    <x v="43"/>
    <n v="280"/>
  </r>
  <r>
    <x v="34"/>
    <x v="13"/>
    <n v="258"/>
  </r>
  <r>
    <x v="34"/>
    <x v="7"/>
    <n v="255"/>
  </r>
  <r>
    <x v="34"/>
    <x v="5"/>
    <n v="245"/>
  </r>
  <r>
    <x v="34"/>
    <x v="11"/>
    <n v="200"/>
  </r>
  <r>
    <x v="34"/>
    <x v="1"/>
    <n v="196"/>
  </r>
  <r>
    <x v="34"/>
    <x v="3"/>
    <n v="196"/>
  </r>
  <r>
    <x v="34"/>
    <x v="55"/>
    <n v="172"/>
  </r>
  <r>
    <x v="34"/>
    <x v="54"/>
    <n v="172"/>
  </r>
  <r>
    <x v="34"/>
    <x v="24"/>
    <n v="136"/>
  </r>
  <r>
    <x v="34"/>
    <x v="16"/>
    <n v="128"/>
  </r>
  <r>
    <x v="34"/>
    <x v="62"/>
    <n v="126"/>
  </r>
  <r>
    <x v="34"/>
    <x v="18"/>
    <n v="119"/>
  </r>
  <r>
    <x v="34"/>
    <x v="63"/>
    <n v="110"/>
  </r>
  <r>
    <x v="34"/>
    <x v="52"/>
    <n v="102"/>
  </r>
  <r>
    <x v="34"/>
    <x v="60"/>
    <n v="96"/>
  </r>
  <r>
    <x v="34"/>
    <x v="53"/>
    <n v="96"/>
  </r>
  <r>
    <x v="34"/>
    <x v="31"/>
    <n v="72"/>
  </r>
  <r>
    <x v="34"/>
    <x v="64"/>
    <n v="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F23ACD-6A35-49DF-BF5B-81EB92232BCC}" name="PivotTable3" cacheId="3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L15:R46" firstHeaderRow="1" firstDataRow="2" firstDataCol="1"/>
  <pivotFields count="3">
    <pivotField axis="axisRow" compact="0" outline="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axis="axisCol" compact="0" outline="0" showAll="0" sortType="ascending">
      <items count="67">
        <item h="1" x="47"/>
        <item h="1" x="46"/>
        <item h="1" x="41"/>
        <item h="1" x="16"/>
        <item h="1" x="32"/>
        <item x="0"/>
        <item h="1" x="55"/>
        <item h="1" x="56"/>
        <item h="1" x="43"/>
        <item h="1" x="21"/>
        <item h="1" x="60"/>
        <item h="1" x="48"/>
        <item h="1" x="37"/>
        <item h="1" x="23"/>
        <item h="1" x="44"/>
        <item h="1" x="14"/>
        <item h="1" x="20"/>
        <item h="1" x="34"/>
        <item h="1" x="40"/>
        <item h="1" x="4"/>
        <item h="1" x="24"/>
        <item h="1" x="11"/>
        <item h="1" x="5"/>
        <item h="1" x="27"/>
        <item h="1" x="17"/>
        <item h="1" x="58"/>
        <item h="1" x="18"/>
        <item h="1" x="1"/>
        <item h="1" x="45"/>
        <item h="1" x="26"/>
        <item h="1" x="33"/>
        <item h="1" x="29"/>
        <item h="1" x="50"/>
        <item h="1" x="22"/>
        <item h="1" x="51"/>
        <item h="1" x="39"/>
        <item h="1" x="31"/>
        <item h="1" x="28"/>
        <item h="1" x="35"/>
        <item h="1" x="15"/>
        <item h="1" x="30"/>
        <item h="1" x="53"/>
        <item h="1" x="25"/>
        <item x="9"/>
        <item h="1" x="12"/>
        <item h="1" x="65"/>
        <item h="1" x="10"/>
        <item x="2"/>
        <item h="1" x="57"/>
        <item h="1" x="42"/>
        <item h="1" x="38"/>
        <item h="1" x="61"/>
        <item h="1" x="59"/>
        <item h="1" x="36"/>
        <item x="6"/>
        <item h="1" x="52"/>
        <item h="1" x="54"/>
        <item h="1" x="62"/>
        <item h="1" x="3"/>
        <item h="1" x="64"/>
        <item h="1" x="63"/>
        <item h="1" x="19"/>
        <item h="1" x="49"/>
        <item h="1" x="13"/>
        <item h="1" x="7"/>
        <item x="8"/>
        <item t="default"/>
      </items>
    </pivotField>
    <pivotField dataField="1" compact="0" outline="0" showAl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4"/>
    </i>
    <i>
      <x v="26"/>
    </i>
    <i>
      <x v="28"/>
    </i>
    <i>
      <x v="30"/>
    </i>
    <i>
      <x v="32"/>
    </i>
    <i>
      <x v="34"/>
    </i>
    <i t="grand">
      <x/>
    </i>
  </rowItems>
  <colFields count="1">
    <field x="1"/>
  </colFields>
  <colItems count="6">
    <i>
      <x v="5"/>
    </i>
    <i>
      <x v="43"/>
    </i>
    <i>
      <x v="47"/>
    </i>
    <i>
      <x v="54"/>
    </i>
    <i>
      <x v="65"/>
    </i>
    <i t="grand">
      <x/>
    </i>
  </colItems>
  <dataFields count="1">
    <dataField name="Sum of total_participants" fld="2" baseField="0" baseItem="0"/>
  </dataFields>
  <chartFormats count="5">
    <chartFormat chart="0" format="0" series="1">
      <pivotArea type="data" outline="0" fieldPosition="0">
        <references count="2">
          <reference field="4294967294" count="1" selected="0">
            <x v="0"/>
          </reference>
          <reference field="1" count="1" selected="0">
            <x v="5"/>
          </reference>
        </references>
      </pivotArea>
    </chartFormat>
    <chartFormat chart="0" format="1" series="1">
      <pivotArea type="data" outline="0" fieldPosition="0">
        <references count="2">
          <reference field="4294967294" count="1" selected="0">
            <x v="0"/>
          </reference>
          <reference field="1" count="1" selected="0">
            <x v="43"/>
          </reference>
        </references>
      </pivotArea>
    </chartFormat>
    <chartFormat chart="0" format="2" series="1">
      <pivotArea type="data" outline="0" fieldPosition="0">
        <references count="2">
          <reference field="4294967294" count="1" selected="0">
            <x v="0"/>
          </reference>
          <reference field="1" count="1" selected="0">
            <x v="47"/>
          </reference>
        </references>
      </pivotArea>
    </chartFormat>
    <chartFormat chart="0" format="3" series="1">
      <pivotArea type="data" outline="0" fieldPosition="0">
        <references count="2">
          <reference field="4294967294" count="1" selected="0">
            <x v="0"/>
          </reference>
          <reference field="1" count="1" selected="0">
            <x v="54"/>
          </reference>
        </references>
      </pivotArea>
    </chartFormat>
    <chartFormat chart="0" format="4" series="1">
      <pivotArea type="data" outline="0" fieldPosition="0">
        <references count="2">
          <reference field="4294967294" count="1" selected="0">
            <x v="0"/>
          </reference>
          <reference field="1" count="1" selected="0">
            <x v="65"/>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24EFB-2DC4-437F-BF56-E62F0CE04272}">
  <dimension ref="A1:J27"/>
  <sheetViews>
    <sheetView tabSelected="1" topLeftCell="A10" workbookViewId="0">
      <selection activeCell="M13" sqref="M13"/>
    </sheetView>
  </sheetViews>
  <sheetFormatPr defaultRowHeight="15"/>
  <cols>
    <col min="1" max="1" width="40.28515625" customWidth="1"/>
    <col min="2" max="2" width="19.140625" customWidth="1"/>
  </cols>
  <sheetData>
    <row r="1" spans="1:10" ht="34.5" customHeight="1">
      <c r="H1" s="26" t="s">
        <v>0</v>
      </c>
      <c r="I1" s="25"/>
      <c r="J1" s="25"/>
    </row>
    <row r="2" spans="1:10" ht="15" customHeight="1"/>
    <row r="3" spans="1:10" ht="18.75" customHeight="1">
      <c r="A3" s="29" t="s">
        <v>1</v>
      </c>
      <c r="B3" s="28"/>
      <c r="C3" s="28"/>
    </row>
    <row r="4" spans="1:10" ht="18.75" customHeight="1">
      <c r="A4" s="28"/>
      <c r="B4" s="28"/>
      <c r="C4" s="28"/>
    </row>
    <row r="5" spans="1:10" ht="18.75" customHeight="1">
      <c r="A5" s="27" t="s">
        <v>2</v>
      </c>
      <c r="B5" s="28"/>
      <c r="C5" s="28"/>
    </row>
    <row r="6" spans="1:10" ht="18.75" customHeight="1">
      <c r="A6" s="27" t="s">
        <v>3</v>
      </c>
      <c r="B6" s="27" t="s">
        <v>4</v>
      </c>
      <c r="C6" s="27" t="s">
        <v>5</v>
      </c>
    </row>
    <row r="7" spans="1:10" ht="18.75" customHeight="1">
      <c r="A7" s="28" t="s">
        <v>6</v>
      </c>
      <c r="B7" s="28" t="s">
        <v>7</v>
      </c>
      <c r="C7" s="28" t="s">
        <v>8</v>
      </c>
    </row>
    <row r="8" spans="1:10" ht="18.75" customHeight="1">
      <c r="A8" s="28" t="s">
        <v>9</v>
      </c>
      <c r="B8" s="28" t="s">
        <v>10</v>
      </c>
      <c r="C8" s="28" t="s">
        <v>11</v>
      </c>
    </row>
    <row r="9" spans="1:10" ht="18.75" customHeight="1">
      <c r="A9" s="28" t="s">
        <v>12</v>
      </c>
      <c r="B9" s="28" t="s">
        <v>13</v>
      </c>
      <c r="C9" s="28" t="s">
        <v>14</v>
      </c>
    </row>
    <row r="10" spans="1:10" ht="18.75" customHeight="1">
      <c r="A10" s="28" t="s">
        <v>15</v>
      </c>
      <c r="B10" s="28" t="s">
        <v>16</v>
      </c>
      <c r="C10" s="28" t="s">
        <v>17</v>
      </c>
    </row>
    <row r="11" spans="1:10" ht="18.75" customHeight="1">
      <c r="A11" s="28" t="s">
        <v>18</v>
      </c>
      <c r="B11" s="28" t="s">
        <v>19</v>
      </c>
      <c r="C11" s="28" t="s">
        <v>20</v>
      </c>
    </row>
    <row r="12" spans="1:10" ht="18.75" customHeight="1">
      <c r="A12" s="28" t="s">
        <v>21</v>
      </c>
      <c r="B12" s="28" t="s">
        <v>22</v>
      </c>
      <c r="C12" s="28" t="s">
        <v>23</v>
      </c>
    </row>
    <row r="13" spans="1:10" ht="18.75" customHeight="1">
      <c r="A13" s="28"/>
      <c r="B13" s="28"/>
      <c r="C13" s="28"/>
    </row>
    <row r="14" spans="1:10" ht="18.75" customHeight="1">
      <c r="A14" s="27" t="s">
        <v>24</v>
      </c>
      <c r="B14" s="28"/>
      <c r="C14" s="28"/>
    </row>
    <row r="15" spans="1:10" ht="18.75" customHeight="1">
      <c r="A15" s="28" t="s">
        <v>25</v>
      </c>
      <c r="B15" s="28"/>
      <c r="C15" s="28"/>
    </row>
    <row r="16" spans="1:10" ht="18.75" customHeight="1">
      <c r="A16" s="28" t="s">
        <v>26</v>
      </c>
      <c r="B16" s="28"/>
      <c r="C16" s="28"/>
    </row>
    <row r="17" spans="1:3" ht="18.75" customHeight="1">
      <c r="A17" s="28" t="s">
        <v>27</v>
      </c>
      <c r="B17" s="28"/>
      <c r="C17" s="28"/>
    </row>
    <row r="18" spans="1:3" ht="18.75" customHeight="1">
      <c r="A18" s="28" t="s">
        <v>28</v>
      </c>
      <c r="B18" s="28"/>
      <c r="C18" s="28"/>
    </row>
    <row r="19" spans="1:3" ht="18.75" customHeight="1">
      <c r="A19" s="28" t="s">
        <v>29</v>
      </c>
      <c r="B19" s="28"/>
      <c r="C19" s="28"/>
    </row>
    <row r="20" spans="1:3" ht="18.75" customHeight="1">
      <c r="A20" s="28" t="s">
        <v>30</v>
      </c>
      <c r="B20" s="28"/>
      <c r="C20" s="28"/>
    </row>
    <row r="21" spans="1:3" ht="18.75" customHeight="1">
      <c r="A21" s="28" t="s">
        <v>31</v>
      </c>
      <c r="B21" s="28"/>
      <c r="C21" s="28"/>
    </row>
    <row r="22" spans="1:3" ht="18.75" customHeight="1">
      <c r="A22" s="28" t="s">
        <v>32</v>
      </c>
      <c r="B22" s="28"/>
      <c r="C22" s="28"/>
    </row>
    <row r="23" spans="1:3" ht="18.75" customHeight="1">
      <c r="A23" s="28"/>
      <c r="B23" s="28"/>
      <c r="C23" s="28"/>
    </row>
    <row r="24" spans="1:3" ht="18.75" customHeight="1">
      <c r="A24" s="27" t="s">
        <v>33</v>
      </c>
      <c r="B24" s="28"/>
      <c r="C24" s="28"/>
    </row>
    <row r="25" spans="1:3" ht="18.75" customHeight="1">
      <c r="A25" s="27" t="s">
        <v>34</v>
      </c>
      <c r="B25" s="28"/>
      <c r="C25" s="28"/>
    </row>
    <row r="26" spans="1:3">
      <c r="A26" s="11"/>
    </row>
    <row r="27" spans="1:3">
      <c r="A27"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4"/>
  <sheetViews>
    <sheetView workbookViewId="0">
      <selection activeCell="M9" sqref="M9"/>
    </sheetView>
  </sheetViews>
  <sheetFormatPr defaultRowHeight="15"/>
  <cols>
    <col min="10" max="10" width="14.42578125" customWidth="1"/>
    <col min="11" max="11" width="11.7109375" customWidth="1"/>
  </cols>
  <sheetData>
    <row r="1" spans="1:29">
      <c r="A1" s="32" t="s">
        <v>35</v>
      </c>
      <c r="B1" s="32"/>
      <c r="C1" s="32"/>
      <c r="D1" s="32"/>
      <c r="E1" s="32"/>
      <c r="F1" s="32"/>
      <c r="G1" s="32"/>
      <c r="H1" s="32"/>
    </row>
    <row r="3" spans="1:29">
      <c r="A3" s="2" t="s">
        <v>36</v>
      </c>
      <c r="B3" t="s">
        <v>37</v>
      </c>
      <c r="I3" s="3" t="s">
        <v>38</v>
      </c>
      <c r="J3" s="20" t="s">
        <v>39</v>
      </c>
      <c r="K3" s="20" t="s">
        <v>40</v>
      </c>
      <c r="L3" s="20" t="s">
        <v>41</v>
      </c>
      <c r="N3" s="31" t="s">
        <v>42</v>
      </c>
      <c r="O3" s="31"/>
      <c r="P3" s="30"/>
      <c r="Q3" s="30"/>
      <c r="R3" s="30"/>
      <c r="S3" s="30"/>
      <c r="T3" s="30"/>
      <c r="U3" s="30"/>
      <c r="V3" s="30"/>
      <c r="W3" s="30"/>
      <c r="X3" s="30"/>
      <c r="Y3" s="30"/>
      <c r="Z3" s="30"/>
      <c r="AA3" s="30"/>
      <c r="AB3" s="30"/>
      <c r="AC3" s="30"/>
    </row>
    <row r="4" spans="1:29">
      <c r="B4" t="s">
        <v>43</v>
      </c>
      <c r="J4" s="6" t="s">
        <v>44</v>
      </c>
      <c r="K4" s="6">
        <v>1896</v>
      </c>
      <c r="L4" s="6"/>
    </row>
    <row r="5" spans="1:29">
      <c r="B5" t="s">
        <v>45</v>
      </c>
      <c r="J5" s="1" t="s">
        <v>44</v>
      </c>
      <c r="K5" s="1">
        <v>1900</v>
      </c>
      <c r="L5" s="1">
        <v>4</v>
      </c>
    </row>
    <row r="6" spans="1:29">
      <c r="B6" t="s">
        <v>46</v>
      </c>
      <c r="J6" s="1" t="s">
        <v>44</v>
      </c>
      <c r="K6" s="1">
        <v>1904</v>
      </c>
      <c r="L6" s="1">
        <v>4</v>
      </c>
    </row>
    <row r="7" spans="1:29">
      <c r="B7" t="s">
        <v>47</v>
      </c>
      <c r="J7" s="1" t="s">
        <v>44</v>
      </c>
      <c r="K7" s="1">
        <v>1906</v>
      </c>
      <c r="L7" s="1">
        <v>2</v>
      </c>
    </row>
    <row r="8" spans="1:29">
      <c r="B8" t="s">
        <v>48</v>
      </c>
      <c r="J8" s="1" t="s">
        <v>44</v>
      </c>
      <c r="K8" s="1">
        <v>1908</v>
      </c>
      <c r="L8" s="1">
        <v>2</v>
      </c>
    </row>
    <row r="9" spans="1:29">
      <c r="B9" t="s">
        <v>49</v>
      </c>
      <c r="J9" s="1" t="s">
        <v>44</v>
      </c>
      <c r="K9" s="1">
        <v>1912</v>
      </c>
      <c r="L9" s="1">
        <v>4</v>
      </c>
    </row>
    <row r="10" spans="1:29">
      <c r="B10" t="s">
        <v>50</v>
      </c>
      <c r="J10" s="1" t="s">
        <v>44</v>
      </c>
      <c r="K10" s="1">
        <v>1920</v>
      </c>
      <c r="L10" s="1">
        <v>8</v>
      </c>
    </row>
    <row r="11" spans="1:29">
      <c r="B11" t="s">
        <v>51</v>
      </c>
      <c r="J11" s="1" t="s">
        <v>44</v>
      </c>
      <c r="K11" s="1">
        <v>1924</v>
      </c>
      <c r="L11" s="1">
        <v>4</v>
      </c>
    </row>
    <row r="12" spans="1:29">
      <c r="B12" t="s">
        <v>52</v>
      </c>
      <c r="J12" s="1" t="s">
        <v>44</v>
      </c>
      <c r="K12" s="1">
        <v>1928</v>
      </c>
      <c r="L12" s="1">
        <v>4</v>
      </c>
    </row>
    <row r="13" spans="1:29">
      <c r="B13" t="s">
        <v>53</v>
      </c>
      <c r="J13" s="1" t="s">
        <v>44</v>
      </c>
      <c r="K13" s="1">
        <v>1932</v>
      </c>
      <c r="L13" s="1">
        <v>4</v>
      </c>
    </row>
    <row r="14" spans="1:29">
      <c r="B14" t="s">
        <v>54</v>
      </c>
      <c r="J14" s="1" t="s">
        <v>44</v>
      </c>
      <c r="K14" s="1">
        <v>1936</v>
      </c>
      <c r="L14" s="1">
        <v>4</v>
      </c>
    </row>
    <row r="15" spans="1:29">
      <c r="J15" s="1" t="s">
        <v>44</v>
      </c>
      <c r="K15" s="1">
        <v>1948</v>
      </c>
      <c r="L15" s="1">
        <v>12</v>
      </c>
    </row>
    <row r="16" spans="1:29">
      <c r="J16" s="1" t="s">
        <v>44</v>
      </c>
      <c r="K16" s="1">
        <v>1952</v>
      </c>
      <c r="L16" s="1">
        <v>4</v>
      </c>
    </row>
    <row r="17" spans="10:12">
      <c r="J17" s="1" t="s">
        <v>44</v>
      </c>
      <c r="K17" s="1">
        <v>1956</v>
      </c>
      <c r="L17" s="1">
        <v>4</v>
      </c>
    </row>
    <row r="18" spans="10:12">
      <c r="J18" s="1" t="s">
        <v>44</v>
      </c>
      <c r="K18" s="1">
        <v>1960</v>
      </c>
      <c r="L18" s="1">
        <v>4</v>
      </c>
    </row>
    <row r="19" spans="10:12">
      <c r="J19" s="1" t="s">
        <v>44</v>
      </c>
      <c r="K19" s="1">
        <v>1964</v>
      </c>
      <c r="L19" s="1">
        <v>4</v>
      </c>
    </row>
    <row r="20" spans="10:12">
      <c r="J20" s="1" t="s">
        <v>44</v>
      </c>
      <c r="K20" s="1">
        <v>1968</v>
      </c>
      <c r="L20" s="1">
        <v>4</v>
      </c>
    </row>
    <row r="21" spans="10:12">
      <c r="J21" s="1" t="s">
        <v>44</v>
      </c>
      <c r="K21" s="1">
        <v>1972</v>
      </c>
      <c r="L21" s="1">
        <v>4</v>
      </c>
    </row>
    <row r="22" spans="10:12">
      <c r="J22" s="1" t="s">
        <v>44</v>
      </c>
      <c r="K22" s="1">
        <v>1976</v>
      </c>
      <c r="L22" s="1">
        <v>4</v>
      </c>
    </row>
    <row r="23" spans="10:12">
      <c r="J23" s="1" t="s">
        <v>44</v>
      </c>
      <c r="K23" s="1">
        <v>1980</v>
      </c>
      <c r="L23" s="1">
        <v>4</v>
      </c>
    </row>
    <row r="24" spans="10:12">
      <c r="J24" s="1" t="s">
        <v>44</v>
      </c>
      <c r="K24" s="1">
        <v>1984</v>
      </c>
      <c r="L24" s="1">
        <v>4</v>
      </c>
    </row>
    <row r="25" spans="10:12">
      <c r="J25" s="1" t="s">
        <v>44</v>
      </c>
      <c r="K25" s="1">
        <v>1988</v>
      </c>
      <c r="L25" s="1">
        <v>4</v>
      </c>
    </row>
    <row r="26" spans="10:12">
      <c r="J26" s="1" t="s">
        <v>44</v>
      </c>
      <c r="K26" s="1">
        <v>1992</v>
      </c>
      <c r="L26" s="1">
        <v>4</v>
      </c>
    </row>
    <row r="27" spans="10:12">
      <c r="J27" s="1" t="s">
        <v>44</v>
      </c>
      <c r="K27" s="1">
        <v>1996</v>
      </c>
      <c r="L27" s="1">
        <v>4</v>
      </c>
    </row>
    <row r="28" spans="10:12">
      <c r="J28" s="1" t="s">
        <v>44</v>
      </c>
      <c r="K28" s="1">
        <v>2000</v>
      </c>
      <c r="L28" s="1">
        <v>4</v>
      </c>
    </row>
    <row r="29" spans="10:12">
      <c r="J29" s="1" t="s">
        <v>44</v>
      </c>
      <c r="K29" s="1">
        <v>2004</v>
      </c>
      <c r="L29" s="1">
        <v>4</v>
      </c>
    </row>
    <row r="30" spans="10:12">
      <c r="J30" s="1" t="s">
        <v>44</v>
      </c>
      <c r="K30" s="1">
        <v>2008</v>
      </c>
      <c r="L30" s="1">
        <v>4</v>
      </c>
    </row>
    <row r="31" spans="10:12">
      <c r="J31" s="1" t="s">
        <v>44</v>
      </c>
      <c r="K31" s="1">
        <v>2012</v>
      </c>
      <c r="L31" s="1">
        <v>4</v>
      </c>
    </row>
    <row r="32" spans="10:12">
      <c r="J32" s="1" t="s">
        <v>44</v>
      </c>
      <c r="K32" s="1">
        <v>2016</v>
      </c>
      <c r="L32" s="1">
        <v>4</v>
      </c>
    </row>
    <row r="33" spans="10:12">
      <c r="J33" s="1" t="s">
        <v>55</v>
      </c>
      <c r="K33" s="1">
        <v>1924</v>
      </c>
      <c r="L33" s="1"/>
    </row>
    <row r="34" spans="10:12">
      <c r="J34" s="1" t="s">
        <v>55</v>
      </c>
      <c r="K34" s="1">
        <v>1928</v>
      </c>
      <c r="L34" s="1">
        <v>4</v>
      </c>
    </row>
    <row r="35" spans="10:12">
      <c r="J35" s="1" t="s">
        <v>55</v>
      </c>
      <c r="K35" s="1">
        <v>1932</v>
      </c>
      <c r="L35" s="1">
        <v>4</v>
      </c>
    </row>
    <row r="36" spans="10:12">
      <c r="J36" s="1" t="s">
        <v>55</v>
      </c>
      <c r="K36" s="1">
        <v>1936</v>
      </c>
      <c r="L36" s="1">
        <v>4</v>
      </c>
    </row>
    <row r="37" spans="10:12">
      <c r="J37" s="1" t="s">
        <v>55</v>
      </c>
      <c r="K37" s="1">
        <v>1948</v>
      </c>
      <c r="L37" s="1">
        <v>12</v>
      </c>
    </row>
    <row r="38" spans="10:12">
      <c r="J38" s="1" t="s">
        <v>55</v>
      </c>
      <c r="K38" s="1">
        <v>1952</v>
      </c>
      <c r="L38" s="1">
        <v>4</v>
      </c>
    </row>
    <row r="39" spans="10:12">
      <c r="J39" s="1" t="s">
        <v>55</v>
      </c>
      <c r="K39" s="1">
        <v>1956</v>
      </c>
      <c r="L39" s="1">
        <v>4</v>
      </c>
    </row>
    <row r="40" spans="10:12">
      <c r="J40" s="1" t="s">
        <v>55</v>
      </c>
      <c r="K40" s="1">
        <v>1960</v>
      </c>
      <c r="L40" s="1">
        <v>4</v>
      </c>
    </row>
    <row r="41" spans="10:12">
      <c r="J41" s="1" t="s">
        <v>55</v>
      </c>
      <c r="K41" s="1">
        <v>1964</v>
      </c>
      <c r="L41" s="1">
        <v>4</v>
      </c>
    </row>
    <row r="42" spans="10:12">
      <c r="J42" s="1" t="s">
        <v>55</v>
      </c>
      <c r="K42" s="1">
        <v>1968</v>
      </c>
      <c r="L42" s="1">
        <v>4</v>
      </c>
    </row>
    <row r="43" spans="10:12">
      <c r="J43" s="1" t="s">
        <v>55</v>
      </c>
      <c r="K43" s="1">
        <v>1972</v>
      </c>
      <c r="L43" s="1">
        <v>4</v>
      </c>
    </row>
    <row r="44" spans="10:12">
      <c r="J44" s="1" t="s">
        <v>55</v>
      </c>
      <c r="K44" s="1">
        <v>1976</v>
      </c>
      <c r="L44" s="1">
        <v>4</v>
      </c>
    </row>
    <row r="45" spans="10:12">
      <c r="J45" s="1" t="s">
        <v>55</v>
      </c>
      <c r="K45" s="1">
        <v>1980</v>
      </c>
      <c r="L45" s="1">
        <v>4</v>
      </c>
    </row>
    <row r="46" spans="10:12">
      <c r="J46" s="1" t="s">
        <v>55</v>
      </c>
      <c r="K46" s="1">
        <v>1984</v>
      </c>
      <c r="L46" s="1">
        <v>4</v>
      </c>
    </row>
    <row r="47" spans="10:12">
      <c r="J47" s="1" t="s">
        <v>55</v>
      </c>
      <c r="K47" s="1">
        <v>1988</v>
      </c>
      <c r="L47" s="1">
        <v>4</v>
      </c>
    </row>
    <row r="48" spans="10:12">
      <c r="J48" s="1" t="s">
        <v>55</v>
      </c>
      <c r="K48" s="1">
        <v>1992</v>
      </c>
      <c r="L48" s="1">
        <v>4</v>
      </c>
    </row>
    <row r="49" spans="10:12">
      <c r="J49" s="1" t="s">
        <v>55</v>
      </c>
      <c r="K49" s="1">
        <v>1994</v>
      </c>
      <c r="L49" s="1">
        <v>2</v>
      </c>
    </row>
    <row r="50" spans="10:12">
      <c r="J50" s="1" t="s">
        <v>55</v>
      </c>
      <c r="K50" s="1">
        <v>1998</v>
      </c>
      <c r="L50" s="1">
        <v>4</v>
      </c>
    </row>
    <row r="51" spans="10:12">
      <c r="J51" s="1" t="s">
        <v>55</v>
      </c>
      <c r="K51" s="1">
        <v>2002</v>
      </c>
      <c r="L51" s="1">
        <v>4</v>
      </c>
    </row>
    <row r="52" spans="10:12">
      <c r="J52" s="1" t="s">
        <v>55</v>
      </c>
      <c r="K52" s="1">
        <v>2006</v>
      </c>
      <c r="L52" s="1">
        <v>4</v>
      </c>
    </row>
    <row r="53" spans="10:12">
      <c r="J53" s="1" t="s">
        <v>55</v>
      </c>
      <c r="K53" s="1">
        <v>2010</v>
      </c>
      <c r="L53" s="1">
        <v>4</v>
      </c>
    </row>
    <row r="54" spans="10:12">
      <c r="J54" s="1" t="s">
        <v>55</v>
      </c>
      <c r="K54" s="1">
        <v>2014</v>
      </c>
      <c r="L54" s="1">
        <v>4</v>
      </c>
    </row>
  </sheetData>
  <mergeCells count="3">
    <mergeCell ref="P3:AC3"/>
    <mergeCell ref="N3:O3"/>
    <mergeCell ref="A1:H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66A9B-ABE7-4CA4-8B97-0676DA06A92E}">
  <dimension ref="A1:N54"/>
  <sheetViews>
    <sheetView workbookViewId="0">
      <selection activeCell="AB11" sqref="AB11"/>
    </sheetView>
  </sheetViews>
  <sheetFormatPr defaultRowHeight="15"/>
  <cols>
    <col min="8" max="8" width="11" customWidth="1"/>
    <col min="12" max="12" width="11.140625" customWidth="1"/>
  </cols>
  <sheetData>
    <row r="1" spans="1:14">
      <c r="A1" s="32" t="s">
        <v>56</v>
      </c>
      <c r="B1" s="32"/>
      <c r="C1" s="32"/>
      <c r="D1" s="32"/>
      <c r="E1" s="32"/>
      <c r="F1" s="32"/>
    </row>
    <row r="3" spans="1:14">
      <c r="A3" s="3" t="s">
        <v>36</v>
      </c>
      <c r="B3" t="s">
        <v>57</v>
      </c>
      <c r="G3" s="3" t="s">
        <v>38</v>
      </c>
      <c r="H3" s="20" t="s">
        <v>40</v>
      </c>
      <c r="I3" s="20" t="s">
        <v>58</v>
      </c>
      <c r="J3" s="1" t="s">
        <v>41</v>
      </c>
      <c r="L3" s="31" t="s">
        <v>42</v>
      </c>
      <c r="M3" s="31"/>
    </row>
    <row r="4" spans="1:14">
      <c r="B4" t="s">
        <v>45</v>
      </c>
      <c r="H4" s="1">
        <v>1896</v>
      </c>
      <c r="I4" s="1" t="s">
        <v>44</v>
      </c>
      <c r="J4" s="1"/>
    </row>
    <row r="5" spans="1:14">
      <c r="B5" t="s">
        <v>59</v>
      </c>
      <c r="H5" s="1">
        <v>1900</v>
      </c>
      <c r="I5" s="1" t="s">
        <v>44</v>
      </c>
      <c r="J5" s="1">
        <v>4</v>
      </c>
    </row>
    <row r="6" spans="1:14">
      <c r="B6" t="s">
        <v>60</v>
      </c>
      <c r="H6" s="1">
        <v>1904</v>
      </c>
      <c r="I6" s="1" t="s">
        <v>44</v>
      </c>
      <c r="J6" s="1">
        <v>4</v>
      </c>
    </row>
    <row r="7" spans="1:14">
      <c r="B7" t="s">
        <v>61</v>
      </c>
      <c r="H7" s="1">
        <v>1906</v>
      </c>
      <c r="I7" s="1" t="s">
        <v>44</v>
      </c>
      <c r="J7" s="1">
        <v>2</v>
      </c>
    </row>
    <row r="8" spans="1:14">
      <c r="B8" t="s">
        <v>48</v>
      </c>
      <c r="H8" s="1">
        <v>1908</v>
      </c>
      <c r="I8" s="1" t="s">
        <v>44</v>
      </c>
      <c r="J8" s="1">
        <v>2</v>
      </c>
    </row>
    <row r="9" spans="1:14">
      <c r="B9" t="s">
        <v>49</v>
      </c>
      <c r="H9" s="1">
        <v>1912</v>
      </c>
      <c r="I9" s="1" t="s">
        <v>44</v>
      </c>
      <c r="J9" s="1">
        <v>4</v>
      </c>
    </row>
    <row r="10" spans="1:14">
      <c r="B10" t="s">
        <v>62</v>
      </c>
      <c r="H10" s="1">
        <v>1920</v>
      </c>
      <c r="I10" s="1" t="s">
        <v>44</v>
      </c>
      <c r="J10" s="1">
        <v>8</v>
      </c>
    </row>
    <row r="11" spans="1:14">
      <c r="B11" t="s">
        <v>63</v>
      </c>
      <c r="H11" s="1">
        <v>1924</v>
      </c>
      <c r="I11" s="1" t="s">
        <v>44</v>
      </c>
      <c r="J11" s="1">
        <v>4</v>
      </c>
      <c r="L11" s="11"/>
      <c r="M11" s="11"/>
      <c r="N11" s="11"/>
    </row>
    <row r="12" spans="1:14">
      <c r="H12" s="1">
        <v>1928</v>
      </c>
      <c r="I12" s="1" t="s">
        <v>44</v>
      </c>
      <c r="J12" s="1">
        <v>4</v>
      </c>
      <c r="L12" s="17" t="s">
        <v>40</v>
      </c>
      <c r="M12" s="17" t="s">
        <v>44</v>
      </c>
      <c r="N12" s="17" t="s">
        <v>55</v>
      </c>
    </row>
    <row r="13" spans="1:14">
      <c r="H13" s="1">
        <v>1932</v>
      </c>
      <c r="I13" s="1" t="s">
        <v>44</v>
      </c>
      <c r="J13" s="1">
        <v>4</v>
      </c>
      <c r="L13" s="1">
        <v>1896</v>
      </c>
      <c r="M13" s="1" t="str">
        <f>IF(COUNTIFS($H$4:$H$54,L13,$I$4:$I$54,M$12,$J$4:$J$54,"&gt;0")=0,"",SUMIFS($J$4:$J$54,$H$4:$H$54,L13,$I$4:$I$54,M$12))</f>
        <v/>
      </c>
      <c r="N13" s="1" t="str">
        <f>IF(COUNTIFS($H$4:$H$54,L13,$I$4:$I$54,N$12,$J$4:$J$54,"&gt;0")=0,"",SUMIFS($J$4:$J$54,$H$4:$H$54,L13,$I$4:$I$54,N$12))</f>
        <v/>
      </c>
    </row>
    <row r="14" spans="1:14">
      <c r="H14" s="1">
        <v>1936</v>
      </c>
      <c r="I14" s="1" t="s">
        <v>44</v>
      </c>
      <c r="J14" s="1">
        <v>4</v>
      </c>
      <c r="L14" s="1">
        <v>1900</v>
      </c>
      <c r="M14" s="1">
        <f t="shared" ref="M14:M47" si="0">IF(COUNTIFS($H$4:$H$54,L14,$I$4:$I$54,M$12,$J$4:$J$54,"&gt;0")=0,"",SUMIFS($J$4:$J$54,$H$4:$H$54,L14,$I$4:$I$54,M$12))</f>
        <v>4</v>
      </c>
      <c r="N14" s="1" t="str">
        <f t="shared" ref="N14:N47" si="1">IF(COUNTIFS($H$4:$H$54,L14,$I$4:$I$54,N$12,$J$4:$J$54,"&gt;0")=0,"",SUMIFS($J$4:$J$54,$H$4:$H$54,L14,$I$4:$I$54,N$12))</f>
        <v/>
      </c>
    </row>
    <row r="15" spans="1:14">
      <c r="H15" s="1">
        <v>1948</v>
      </c>
      <c r="I15" s="1" t="s">
        <v>44</v>
      </c>
      <c r="J15" s="1">
        <v>12</v>
      </c>
      <c r="L15" s="1">
        <v>1904</v>
      </c>
      <c r="M15" s="1">
        <f t="shared" si="0"/>
        <v>4</v>
      </c>
      <c r="N15" s="1" t="str">
        <f t="shared" si="1"/>
        <v/>
      </c>
    </row>
    <row r="16" spans="1:14">
      <c r="H16" s="1">
        <v>1952</v>
      </c>
      <c r="I16" s="1" t="s">
        <v>44</v>
      </c>
      <c r="J16" s="1">
        <v>4</v>
      </c>
      <c r="L16" s="1">
        <v>1906</v>
      </c>
      <c r="M16" s="1">
        <f t="shared" si="0"/>
        <v>2</v>
      </c>
      <c r="N16" s="1" t="str">
        <f t="shared" si="1"/>
        <v/>
      </c>
    </row>
    <row r="17" spans="8:14">
      <c r="H17" s="1">
        <v>1956</v>
      </c>
      <c r="I17" s="1" t="s">
        <v>44</v>
      </c>
      <c r="J17" s="1">
        <v>4</v>
      </c>
      <c r="L17" s="1">
        <v>1908</v>
      </c>
      <c r="M17" s="1">
        <f t="shared" si="0"/>
        <v>2</v>
      </c>
      <c r="N17" s="1" t="str">
        <f t="shared" si="1"/>
        <v/>
      </c>
    </row>
    <row r="18" spans="8:14">
      <c r="H18" s="1">
        <v>1960</v>
      </c>
      <c r="I18" s="1" t="s">
        <v>44</v>
      </c>
      <c r="J18" s="1">
        <v>4</v>
      </c>
      <c r="L18" s="1">
        <v>1912</v>
      </c>
      <c r="M18" s="1">
        <f t="shared" si="0"/>
        <v>4</v>
      </c>
      <c r="N18" s="1" t="str">
        <f t="shared" si="1"/>
        <v/>
      </c>
    </row>
    <row r="19" spans="8:14">
      <c r="H19" s="1">
        <v>1964</v>
      </c>
      <c r="I19" s="1" t="s">
        <v>44</v>
      </c>
      <c r="J19" s="1">
        <v>4</v>
      </c>
      <c r="L19" s="1">
        <v>1920</v>
      </c>
      <c r="M19" s="1">
        <f t="shared" si="0"/>
        <v>8</v>
      </c>
      <c r="N19" s="1" t="str">
        <f t="shared" si="1"/>
        <v/>
      </c>
    </row>
    <row r="20" spans="8:14">
      <c r="H20" s="1">
        <v>1968</v>
      </c>
      <c r="I20" s="1" t="s">
        <v>44</v>
      </c>
      <c r="J20" s="1">
        <v>4</v>
      </c>
      <c r="L20" s="1">
        <v>1924</v>
      </c>
      <c r="M20" s="1">
        <f t="shared" si="0"/>
        <v>4</v>
      </c>
      <c r="N20" s="1" t="str">
        <f t="shared" si="1"/>
        <v/>
      </c>
    </row>
    <row r="21" spans="8:14">
      <c r="H21" s="1">
        <v>1972</v>
      </c>
      <c r="I21" s="1" t="s">
        <v>44</v>
      </c>
      <c r="J21" s="1">
        <v>4</v>
      </c>
      <c r="L21" s="1">
        <v>1928</v>
      </c>
      <c r="M21" s="1">
        <f t="shared" si="0"/>
        <v>4</v>
      </c>
      <c r="N21" s="1">
        <f t="shared" si="1"/>
        <v>4</v>
      </c>
    </row>
    <row r="22" spans="8:14">
      <c r="H22" s="1">
        <v>1976</v>
      </c>
      <c r="I22" s="1" t="s">
        <v>44</v>
      </c>
      <c r="J22" s="1">
        <v>4</v>
      </c>
      <c r="L22" s="1">
        <v>1932</v>
      </c>
      <c r="M22" s="1">
        <f t="shared" si="0"/>
        <v>4</v>
      </c>
      <c r="N22" s="1">
        <f t="shared" si="1"/>
        <v>4</v>
      </c>
    </row>
    <row r="23" spans="8:14">
      <c r="H23" s="1">
        <v>1980</v>
      </c>
      <c r="I23" s="1" t="s">
        <v>44</v>
      </c>
      <c r="J23" s="1">
        <v>4</v>
      </c>
      <c r="L23" s="1">
        <v>1936</v>
      </c>
      <c r="M23" s="1">
        <f t="shared" si="0"/>
        <v>4</v>
      </c>
      <c r="N23" s="1">
        <f t="shared" si="1"/>
        <v>4</v>
      </c>
    </row>
    <row r="24" spans="8:14">
      <c r="H24" s="1">
        <v>1984</v>
      </c>
      <c r="I24" s="1" t="s">
        <v>44</v>
      </c>
      <c r="J24" s="1">
        <v>4</v>
      </c>
      <c r="L24" s="1">
        <v>1948</v>
      </c>
      <c r="M24" s="1">
        <f t="shared" si="0"/>
        <v>12</v>
      </c>
      <c r="N24" s="1">
        <f t="shared" si="1"/>
        <v>12</v>
      </c>
    </row>
    <row r="25" spans="8:14">
      <c r="H25" s="1">
        <v>1988</v>
      </c>
      <c r="I25" s="1" t="s">
        <v>44</v>
      </c>
      <c r="J25" s="1">
        <v>4</v>
      </c>
      <c r="L25" s="1">
        <v>1952</v>
      </c>
      <c r="M25" s="1">
        <f t="shared" si="0"/>
        <v>4</v>
      </c>
      <c r="N25" s="1">
        <f t="shared" si="1"/>
        <v>4</v>
      </c>
    </row>
    <row r="26" spans="8:14">
      <c r="H26" s="1">
        <v>1992</v>
      </c>
      <c r="I26" s="1" t="s">
        <v>44</v>
      </c>
      <c r="J26" s="1">
        <v>4</v>
      </c>
      <c r="L26" s="1">
        <v>1956</v>
      </c>
      <c r="M26" s="1">
        <f t="shared" si="0"/>
        <v>4</v>
      </c>
      <c r="N26" s="1">
        <f t="shared" si="1"/>
        <v>4</v>
      </c>
    </row>
    <row r="27" spans="8:14">
      <c r="H27" s="1">
        <v>1996</v>
      </c>
      <c r="I27" s="1" t="s">
        <v>44</v>
      </c>
      <c r="J27" s="1">
        <v>4</v>
      </c>
      <c r="L27" s="1">
        <v>1960</v>
      </c>
      <c r="M27" s="1">
        <f t="shared" si="0"/>
        <v>4</v>
      </c>
      <c r="N27" s="1">
        <f t="shared" si="1"/>
        <v>4</v>
      </c>
    </row>
    <row r="28" spans="8:14">
      <c r="H28" s="1">
        <v>2000</v>
      </c>
      <c r="I28" s="1" t="s">
        <v>44</v>
      </c>
      <c r="J28" s="1">
        <v>4</v>
      </c>
      <c r="L28" s="1">
        <v>1964</v>
      </c>
      <c r="M28" s="1">
        <f t="shared" si="0"/>
        <v>4</v>
      </c>
      <c r="N28" s="1">
        <f t="shared" si="1"/>
        <v>4</v>
      </c>
    </row>
    <row r="29" spans="8:14">
      <c r="H29" s="1">
        <v>2004</v>
      </c>
      <c r="I29" s="1" t="s">
        <v>44</v>
      </c>
      <c r="J29" s="1">
        <v>4</v>
      </c>
      <c r="L29" s="1">
        <v>1968</v>
      </c>
      <c r="M29" s="1">
        <f t="shared" si="0"/>
        <v>4</v>
      </c>
      <c r="N29" s="1">
        <f t="shared" si="1"/>
        <v>4</v>
      </c>
    </row>
    <row r="30" spans="8:14">
      <c r="H30" s="1">
        <v>2008</v>
      </c>
      <c r="I30" s="1" t="s">
        <v>44</v>
      </c>
      <c r="J30" s="1">
        <v>4</v>
      </c>
      <c r="L30" s="1">
        <v>1972</v>
      </c>
      <c r="M30" s="1">
        <f t="shared" si="0"/>
        <v>4</v>
      </c>
      <c r="N30" s="1">
        <f t="shared" si="1"/>
        <v>4</v>
      </c>
    </row>
    <row r="31" spans="8:14">
      <c r="H31" s="1">
        <v>2012</v>
      </c>
      <c r="I31" s="1" t="s">
        <v>44</v>
      </c>
      <c r="J31" s="1">
        <v>4</v>
      </c>
      <c r="L31" s="1">
        <v>1976</v>
      </c>
      <c r="M31" s="1">
        <f t="shared" si="0"/>
        <v>4</v>
      </c>
      <c r="N31" s="1">
        <f t="shared" si="1"/>
        <v>4</v>
      </c>
    </row>
    <row r="32" spans="8:14">
      <c r="H32" s="1">
        <v>2016</v>
      </c>
      <c r="I32" s="1" t="s">
        <v>44</v>
      </c>
      <c r="J32" s="1">
        <v>4</v>
      </c>
      <c r="L32" s="1">
        <v>1980</v>
      </c>
      <c r="M32" s="1">
        <f t="shared" si="0"/>
        <v>4</v>
      </c>
      <c r="N32" s="1">
        <f t="shared" si="1"/>
        <v>4</v>
      </c>
    </row>
    <row r="33" spans="8:14">
      <c r="H33" s="1">
        <v>1924</v>
      </c>
      <c r="I33" s="1" t="s">
        <v>55</v>
      </c>
      <c r="J33" s="1"/>
      <c r="L33" s="1">
        <v>1984</v>
      </c>
      <c r="M33" s="1">
        <f t="shared" si="0"/>
        <v>4</v>
      </c>
      <c r="N33" s="1">
        <f t="shared" si="1"/>
        <v>4</v>
      </c>
    </row>
    <row r="34" spans="8:14">
      <c r="H34" s="1">
        <v>1928</v>
      </c>
      <c r="I34" s="1" t="s">
        <v>55</v>
      </c>
      <c r="J34" s="1">
        <v>4</v>
      </c>
      <c r="L34" s="1">
        <v>1988</v>
      </c>
      <c r="M34" s="1">
        <f t="shared" si="0"/>
        <v>4</v>
      </c>
      <c r="N34" s="1">
        <f t="shared" si="1"/>
        <v>4</v>
      </c>
    </row>
    <row r="35" spans="8:14">
      <c r="H35" s="1">
        <v>1932</v>
      </c>
      <c r="I35" s="1" t="s">
        <v>55</v>
      </c>
      <c r="J35" s="1">
        <v>4</v>
      </c>
      <c r="L35" s="1">
        <v>1992</v>
      </c>
      <c r="M35" s="1">
        <f t="shared" si="0"/>
        <v>4</v>
      </c>
      <c r="N35" s="1">
        <f t="shared" si="1"/>
        <v>4</v>
      </c>
    </row>
    <row r="36" spans="8:14">
      <c r="H36" s="1">
        <v>1936</v>
      </c>
      <c r="I36" s="1" t="s">
        <v>55</v>
      </c>
      <c r="J36" s="1">
        <v>4</v>
      </c>
      <c r="L36" s="1">
        <v>1994</v>
      </c>
      <c r="M36" s="1" t="str">
        <f t="shared" si="0"/>
        <v/>
      </c>
      <c r="N36" s="1">
        <f t="shared" si="1"/>
        <v>2</v>
      </c>
    </row>
    <row r="37" spans="8:14">
      <c r="H37" s="1">
        <v>1948</v>
      </c>
      <c r="I37" s="1" t="s">
        <v>55</v>
      </c>
      <c r="J37" s="1">
        <v>12</v>
      </c>
      <c r="L37" s="1">
        <v>1996</v>
      </c>
      <c r="M37" s="1">
        <f t="shared" si="0"/>
        <v>4</v>
      </c>
      <c r="N37" s="1" t="str">
        <f t="shared" si="1"/>
        <v/>
      </c>
    </row>
    <row r="38" spans="8:14">
      <c r="H38" s="1">
        <v>1952</v>
      </c>
      <c r="I38" s="1" t="s">
        <v>55</v>
      </c>
      <c r="J38" s="1">
        <v>4</v>
      </c>
      <c r="L38" s="1">
        <v>1998</v>
      </c>
      <c r="M38" s="1" t="str">
        <f t="shared" si="0"/>
        <v/>
      </c>
      <c r="N38" s="1">
        <f t="shared" si="1"/>
        <v>4</v>
      </c>
    </row>
    <row r="39" spans="8:14">
      <c r="H39" s="1">
        <v>1956</v>
      </c>
      <c r="I39" s="1" t="s">
        <v>55</v>
      </c>
      <c r="J39" s="1">
        <v>4</v>
      </c>
      <c r="L39" s="1">
        <v>2000</v>
      </c>
      <c r="M39" s="1">
        <f t="shared" si="0"/>
        <v>4</v>
      </c>
      <c r="N39" s="1" t="str">
        <f t="shared" si="1"/>
        <v/>
      </c>
    </row>
    <row r="40" spans="8:14">
      <c r="H40" s="1">
        <v>1960</v>
      </c>
      <c r="I40" s="1" t="s">
        <v>55</v>
      </c>
      <c r="J40" s="1">
        <v>4</v>
      </c>
      <c r="L40" s="1">
        <v>2002</v>
      </c>
      <c r="M40" s="1" t="str">
        <f t="shared" si="0"/>
        <v/>
      </c>
      <c r="N40" s="1">
        <f t="shared" si="1"/>
        <v>4</v>
      </c>
    </row>
    <row r="41" spans="8:14">
      <c r="H41" s="1">
        <v>1964</v>
      </c>
      <c r="I41" s="1" t="s">
        <v>55</v>
      </c>
      <c r="J41" s="1">
        <v>4</v>
      </c>
      <c r="L41" s="1">
        <v>2004</v>
      </c>
      <c r="M41" s="1">
        <f t="shared" si="0"/>
        <v>4</v>
      </c>
      <c r="N41" s="1" t="str">
        <f t="shared" si="1"/>
        <v/>
      </c>
    </row>
    <row r="42" spans="8:14">
      <c r="H42" s="1">
        <v>1968</v>
      </c>
      <c r="I42" s="1" t="s">
        <v>55</v>
      </c>
      <c r="J42" s="1">
        <v>4</v>
      </c>
      <c r="L42" s="1">
        <v>2006</v>
      </c>
      <c r="M42" s="1" t="str">
        <f t="shared" si="0"/>
        <v/>
      </c>
      <c r="N42" s="1">
        <f t="shared" si="1"/>
        <v>4</v>
      </c>
    </row>
    <row r="43" spans="8:14">
      <c r="H43" s="1">
        <v>1972</v>
      </c>
      <c r="I43" s="1" t="s">
        <v>55</v>
      </c>
      <c r="J43" s="1">
        <v>4</v>
      </c>
      <c r="L43" s="1">
        <v>2008</v>
      </c>
      <c r="M43" s="1">
        <f t="shared" si="0"/>
        <v>4</v>
      </c>
      <c r="N43" s="1" t="str">
        <f t="shared" si="1"/>
        <v/>
      </c>
    </row>
    <row r="44" spans="8:14">
      <c r="H44" s="1">
        <v>1976</v>
      </c>
      <c r="I44" s="1" t="s">
        <v>55</v>
      </c>
      <c r="J44" s="1">
        <v>4</v>
      </c>
      <c r="L44" s="1">
        <v>2010</v>
      </c>
      <c r="M44" s="1" t="str">
        <f t="shared" si="0"/>
        <v/>
      </c>
      <c r="N44" s="1">
        <f t="shared" si="1"/>
        <v>4</v>
      </c>
    </row>
    <row r="45" spans="8:14">
      <c r="H45" s="1">
        <v>1980</v>
      </c>
      <c r="I45" s="1" t="s">
        <v>55</v>
      </c>
      <c r="J45" s="1">
        <v>4</v>
      </c>
      <c r="L45" s="1">
        <v>2012</v>
      </c>
      <c r="M45" s="1">
        <f t="shared" si="0"/>
        <v>4</v>
      </c>
      <c r="N45" s="1" t="str">
        <f t="shared" si="1"/>
        <v/>
      </c>
    </row>
    <row r="46" spans="8:14">
      <c r="H46" s="1">
        <v>1984</v>
      </c>
      <c r="I46" s="1" t="s">
        <v>55</v>
      </c>
      <c r="J46" s="1">
        <v>4</v>
      </c>
      <c r="L46" s="1">
        <v>2014</v>
      </c>
      <c r="M46" s="1" t="str">
        <f t="shared" si="0"/>
        <v/>
      </c>
      <c r="N46" s="1">
        <f t="shared" si="1"/>
        <v>4</v>
      </c>
    </row>
    <row r="47" spans="8:14">
      <c r="H47" s="1">
        <v>1988</v>
      </c>
      <c r="I47" s="1" t="s">
        <v>55</v>
      </c>
      <c r="J47" s="1">
        <v>4</v>
      </c>
      <c r="L47" s="1">
        <v>2016</v>
      </c>
      <c r="M47" s="1">
        <f t="shared" si="0"/>
        <v>4</v>
      </c>
      <c r="N47" s="1" t="str">
        <f t="shared" si="1"/>
        <v/>
      </c>
    </row>
    <row r="48" spans="8:14">
      <c r="H48" s="1">
        <v>1992</v>
      </c>
      <c r="I48" s="1" t="s">
        <v>55</v>
      </c>
      <c r="J48" s="1">
        <v>4</v>
      </c>
    </row>
    <row r="49" spans="8:10">
      <c r="H49" s="1">
        <v>1994</v>
      </c>
      <c r="I49" s="1" t="s">
        <v>55</v>
      </c>
      <c r="J49" s="1">
        <v>2</v>
      </c>
    </row>
    <row r="50" spans="8:10">
      <c r="H50" s="1">
        <v>1998</v>
      </c>
      <c r="I50" s="1" t="s">
        <v>55</v>
      </c>
      <c r="J50" s="1">
        <v>4</v>
      </c>
    </row>
    <row r="51" spans="8:10">
      <c r="H51" s="1">
        <v>2002</v>
      </c>
      <c r="I51" s="1" t="s">
        <v>55</v>
      </c>
      <c r="J51" s="1">
        <v>4</v>
      </c>
    </row>
    <row r="52" spans="8:10">
      <c r="H52" s="1">
        <v>2006</v>
      </c>
      <c r="I52" s="1" t="s">
        <v>55</v>
      </c>
      <c r="J52" s="1">
        <v>4</v>
      </c>
    </row>
    <row r="53" spans="8:10">
      <c r="H53" s="1">
        <v>2010</v>
      </c>
      <c r="I53" s="1" t="s">
        <v>55</v>
      </c>
      <c r="J53" s="1">
        <v>4</v>
      </c>
    </row>
    <row r="54" spans="8:10">
      <c r="H54" s="1">
        <v>2014</v>
      </c>
      <c r="I54" s="1" t="s">
        <v>55</v>
      </c>
      <c r="J54" s="1">
        <v>4</v>
      </c>
    </row>
  </sheetData>
  <sortState xmlns:xlrd2="http://schemas.microsoft.com/office/spreadsheetml/2017/richdata2" ref="L13:L47">
    <sortCondition ref="L13:L47"/>
  </sortState>
  <mergeCells count="2">
    <mergeCell ref="L3:M3"/>
    <mergeCell ref="A1:F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FD210-C537-4476-853E-D5EA2A0EF128}">
  <dimension ref="A1:Q54"/>
  <sheetViews>
    <sheetView workbookViewId="0">
      <selection activeCell="H10" sqref="H10"/>
    </sheetView>
  </sheetViews>
  <sheetFormatPr defaultRowHeight="15"/>
  <cols>
    <col min="8" max="8" width="13.140625" customWidth="1"/>
    <col min="11" max="11" width="13.140625" customWidth="1"/>
    <col min="12" max="12" width="13.28515625" customWidth="1"/>
    <col min="13" max="13" width="16.140625" customWidth="1"/>
    <col min="14" max="14" width="2.85546875" hidden="1" customWidth="1"/>
  </cols>
  <sheetData>
    <row r="1" spans="1:17">
      <c r="A1" s="32" t="s">
        <v>64</v>
      </c>
      <c r="B1" s="32"/>
      <c r="C1" s="32"/>
      <c r="D1" s="32"/>
      <c r="E1" s="32"/>
      <c r="F1" s="32"/>
      <c r="G1" s="32"/>
      <c r="H1" s="32"/>
    </row>
    <row r="3" spans="1:17">
      <c r="A3" s="3" t="s">
        <v>36</v>
      </c>
      <c r="B3" t="s">
        <v>65</v>
      </c>
      <c r="J3" s="3" t="s">
        <v>38</v>
      </c>
      <c r="K3" s="19" t="s">
        <v>66</v>
      </c>
      <c r="L3" s="7" t="s">
        <v>40</v>
      </c>
      <c r="M3" s="33" t="s">
        <v>67</v>
      </c>
      <c r="N3" s="34"/>
      <c r="P3" s="31" t="s">
        <v>42</v>
      </c>
      <c r="Q3" s="31"/>
    </row>
    <row r="4" spans="1:17">
      <c r="B4" t="s">
        <v>68</v>
      </c>
      <c r="K4" s="1" t="s">
        <v>69</v>
      </c>
      <c r="L4" s="1">
        <v>1896</v>
      </c>
      <c r="M4" s="1">
        <v>72</v>
      </c>
    </row>
    <row r="5" spans="1:17">
      <c r="B5" t="s">
        <v>70</v>
      </c>
      <c r="K5" s="1" t="s">
        <v>71</v>
      </c>
      <c r="L5" s="1">
        <v>1900</v>
      </c>
      <c r="M5" s="1">
        <v>636</v>
      </c>
    </row>
    <row r="6" spans="1:17">
      <c r="B6" t="s">
        <v>72</v>
      </c>
      <c r="K6" s="1" t="s">
        <v>73</v>
      </c>
      <c r="L6" s="1">
        <v>1904</v>
      </c>
      <c r="M6" s="1">
        <v>496</v>
      </c>
    </row>
    <row r="7" spans="1:17">
      <c r="B7" t="s">
        <v>74</v>
      </c>
      <c r="K7" s="1" t="s">
        <v>75</v>
      </c>
      <c r="L7" s="1">
        <v>1906</v>
      </c>
      <c r="M7" s="1">
        <v>391</v>
      </c>
    </row>
    <row r="8" spans="1:17">
      <c r="B8" t="s">
        <v>76</v>
      </c>
      <c r="K8" s="1" t="s">
        <v>77</v>
      </c>
      <c r="L8" s="1">
        <v>1908</v>
      </c>
      <c r="M8" s="1">
        <v>1529</v>
      </c>
    </row>
    <row r="9" spans="1:17">
      <c r="K9" s="1" t="s">
        <v>78</v>
      </c>
      <c r="L9" s="1">
        <v>1912</v>
      </c>
      <c r="M9" s="1">
        <v>2310</v>
      </c>
    </row>
    <row r="10" spans="1:17">
      <c r="K10" s="1" t="s">
        <v>79</v>
      </c>
      <c r="L10" s="1">
        <v>1920</v>
      </c>
      <c r="M10" s="1">
        <v>2115</v>
      </c>
    </row>
    <row r="11" spans="1:17">
      <c r="K11" s="1" t="s">
        <v>80</v>
      </c>
      <c r="L11" s="1">
        <v>1924</v>
      </c>
      <c r="M11" s="1">
        <v>2547</v>
      </c>
    </row>
    <row r="12" spans="1:17">
      <c r="K12" s="1" t="s">
        <v>81</v>
      </c>
      <c r="L12" s="1">
        <v>1924</v>
      </c>
      <c r="M12" s="1">
        <v>265</v>
      </c>
    </row>
    <row r="13" spans="1:17">
      <c r="K13" s="1" t="s">
        <v>82</v>
      </c>
      <c r="L13" s="1">
        <v>1928</v>
      </c>
      <c r="M13" s="1">
        <v>2598</v>
      </c>
    </row>
    <row r="14" spans="1:17">
      <c r="K14" s="1" t="s">
        <v>83</v>
      </c>
      <c r="L14" s="1">
        <v>1928</v>
      </c>
      <c r="M14" s="1">
        <v>375</v>
      </c>
    </row>
    <row r="15" spans="1:17">
      <c r="K15" s="1" t="s">
        <v>84</v>
      </c>
      <c r="L15" s="1">
        <v>1932</v>
      </c>
      <c r="M15" s="1">
        <v>1666</v>
      </c>
    </row>
    <row r="16" spans="1:17">
      <c r="K16" s="1" t="s">
        <v>85</v>
      </c>
      <c r="L16" s="1">
        <v>1932</v>
      </c>
      <c r="M16" s="1">
        <v>228</v>
      </c>
    </row>
    <row r="17" spans="11:13">
      <c r="K17" s="1" t="s">
        <v>86</v>
      </c>
      <c r="L17" s="1">
        <v>1936</v>
      </c>
      <c r="M17" s="1">
        <v>4306</v>
      </c>
    </row>
    <row r="18" spans="11:13">
      <c r="K18" s="1" t="s">
        <v>87</v>
      </c>
      <c r="L18" s="1">
        <v>1936</v>
      </c>
      <c r="M18" s="1">
        <v>655</v>
      </c>
    </row>
    <row r="19" spans="11:13">
      <c r="K19" s="1" t="s">
        <v>88</v>
      </c>
      <c r="L19" s="1">
        <v>1948</v>
      </c>
      <c r="M19" s="1">
        <v>3501</v>
      </c>
    </row>
    <row r="20" spans="11:13">
      <c r="K20" s="1" t="s">
        <v>89</v>
      </c>
      <c r="L20" s="1">
        <v>1948</v>
      </c>
      <c r="M20" s="1">
        <v>657</v>
      </c>
    </row>
    <row r="21" spans="11:13">
      <c r="K21" s="1" t="s">
        <v>90</v>
      </c>
      <c r="L21" s="1">
        <v>1952</v>
      </c>
      <c r="M21" s="1">
        <v>4715</v>
      </c>
    </row>
    <row r="22" spans="11:13">
      <c r="K22" s="1" t="s">
        <v>91</v>
      </c>
      <c r="L22" s="1">
        <v>1952</v>
      </c>
      <c r="M22" s="1">
        <v>686</v>
      </c>
    </row>
    <row r="23" spans="11:13">
      <c r="K23" s="1" t="s">
        <v>92</v>
      </c>
      <c r="L23" s="1">
        <v>1956</v>
      </c>
      <c r="M23" s="1">
        <v>2858</v>
      </c>
    </row>
    <row r="24" spans="11:13">
      <c r="K24" s="1" t="s">
        <v>93</v>
      </c>
      <c r="L24" s="1">
        <v>1956</v>
      </c>
      <c r="M24" s="1">
        <v>803</v>
      </c>
    </row>
    <row r="25" spans="11:13">
      <c r="K25" s="1" t="s">
        <v>94</v>
      </c>
      <c r="L25" s="1">
        <v>1960</v>
      </c>
      <c r="M25" s="1">
        <v>5212</v>
      </c>
    </row>
    <row r="26" spans="11:13">
      <c r="K26" s="1" t="s">
        <v>95</v>
      </c>
      <c r="L26" s="1">
        <v>1960</v>
      </c>
      <c r="M26" s="1">
        <v>655</v>
      </c>
    </row>
    <row r="27" spans="11:13">
      <c r="K27" s="1" t="s">
        <v>96</v>
      </c>
      <c r="L27" s="1">
        <v>1964</v>
      </c>
      <c r="M27" s="1">
        <v>5066</v>
      </c>
    </row>
    <row r="28" spans="11:13">
      <c r="K28" s="1" t="s">
        <v>97</v>
      </c>
      <c r="L28" s="1">
        <v>1964</v>
      </c>
      <c r="M28" s="1">
        <v>1085</v>
      </c>
    </row>
    <row r="29" spans="11:13">
      <c r="K29" s="1" t="s">
        <v>98</v>
      </c>
      <c r="L29" s="1">
        <v>1968</v>
      </c>
      <c r="M29" s="1">
        <v>5446</v>
      </c>
    </row>
    <row r="30" spans="11:13">
      <c r="K30" s="1" t="s">
        <v>99</v>
      </c>
      <c r="L30" s="1">
        <v>1968</v>
      </c>
      <c r="M30" s="1">
        <v>1143</v>
      </c>
    </row>
    <row r="31" spans="11:13">
      <c r="K31" s="1" t="s">
        <v>100</v>
      </c>
      <c r="L31" s="1">
        <v>1972</v>
      </c>
      <c r="M31" s="1">
        <v>7009</v>
      </c>
    </row>
    <row r="32" spans="11:13">
      <c r="K32" s="1" t="s">
        <v>101</v>
      </c>
      <c r="L32" s="1">
        <v>1972</v>
      </c>
      <c r="M32" s="1">
        <v>994</v>
      </c>
    </row>
    <row r="33" spans="11:13">
      <c r="K33" s="1" t="s">
        <v>102</v>
      </c>
      <c r="L33" s="1">
        <v>1976</v>
      </c>
      <c r="M33" s="1">
        <v>6026</v>
      </c>
    </row>
    <row r="34" spans="11:13">
      <c r="K34" s="1" t="s">
        <v>103</v>
      </c>
      <c r="L34" s="1">
        <v>1976</v>
      </c>
      <c r="M34" s="1">
        <v>1121</v>
      </c>
    </row>
    <row r="35" spans="11:13">
      <c r="K35" s="1" t="s">
        <v>104</v>
      </c>
      <c r="L35" s="1">
        <v>1980</v>
      </c>
      <c r="M35" s="1">
        <v>5091</v>
      </c>
    </row>
    <row r="36" spans="11:13">
      <c r="K36" s="1" t="s">
        <v>105</v>
      </c>
      <c r="L36" s="1">
        <v>1980</v>
      </c>
      <c r="M36" s="1">
        <v>1067</v>
      </c>
    </row>
    <row r="37" spans="11:13">
      <c r="K37" s="1" t="s">
        <v>106</v>
      </c>
      <c r="L37" s="1">
        <v>1984</v>
      </c>
      <c r="M37" s="1">
        <v>6612</v>
      </c>
    </row>
    <row r="38" spans="11:13">
      <c r="K38" s="1" t="s">
        <v>107</v>
      </c>
      <c r="L38" s="1">
        <v>1984</v>
      </c>
      <c r="M38" s="1">
        <v>1264</v>
      </c>
    </row>
    <row r="39" spans="11:13">
      <c r="K39" s="1" t="s">
        <v>108</v>
      </c>
      <c r="L39" s="1">
        <v>1988</v>
      </c>
      <c r="M39" s="1">
        <v>8341</v>
      </c>
    </row>
    <row r="40" spans="11:13">
      <c r="K40" s="1" t="s">
        <v>109</v>
      </c>
      <c r="L40" s="1">
        <v>1988</v>
      </c>
      <c r="M40" s="1">
        <v>1418</v>
      </c>
    </row>
    <row r="41" spans="11:13">
      <c r="K41" s="1" t="s">
        <v>110</v>
      </c>
      <c r="L41" s="1">
        <v>1992</v>
      </c>
      <c r="M41" s="1">
        <v>9327</v>
      </c>
    </row>
    <row r="42" spans="11:13">
      <c r="K42" s="1" t="s">
        <v>111</v>
      </c>
      <c r="L42" s="1">
        <v>1992</v>
      </c>
      <c r="M42" s="1">
        <v>1798</v>
      </c>
    </row>
    <row r="43" spans="11:13">
      <c r="K43" s="1" t="s">
        <v>112</v>
      </c>
      <c r="L43" s="1">
        <v>1994</v>
      </c>
      <c r="M43" s="1">
        <v>1733</v>
      </c>
    </row>
    <row r="44" spans="11:13">
      <c r="K44" s="1" t="s">
        <v>113</v>
      </c>
      <c r="L44" s="1">
        <v>1996</v>
      </c>
      <c r="M44" s="1">
        <v>10319</v>
      </c>
    </row>
    <row r="45" spans="11:13">
      <c r="K45" s="1" t="s">
        <v>114</v>
      </c>
      <c r="L45" s="1">
        <v>1998</v>
      </c>
      <c r="M45" s="1">
        <v>2175</v>
      </c>
    </row>
    <row r="46" spans="11:13">
      <c r="K46" s="1" t="s">
        <v>115</v>
      </c>
      <c r="L46" s="1">
        <v>2000</v>
      </c>
      <c r="M46" s="1">
        <v>10641</v>
      </c>
    </row>
    <row r="47" spans="11:13">
      <c r="K47" s="1" t="s">
        <v>116</v>
      </c>
      <c r="L47" s="1">
        <v>2002</v>
      </c>
      <c r="M47" s="1">
        <v>2395</v>
      </c>
    </row>
    <row r="48" spans="11:13">
      <c r="K48" s="1" t="s">
        <v>117</v>
      </c>
      <c r="L48" s="1">
        <v>2004</v>
      </c>
      <c r="M48" s="1">
        <v>10554</v>
      </c>
    </row>
    <row r="49" spans="11:13">
      <c r="K49" s="1" t="s">
        <v>118</v>
      </c>
      <c r="L49" s="1">
        <v>2006</v>
      </c>
      <c r="M49" s="1">
        <v>2493</v>
      </c>
    </row>
    <row r="50" spans="11:13">
      <c r="K50" s="1" t="s">
        <v>119</v>
      </c>
      <c r="L50" s="1">
        <v>2008</v>
      </c>
      <c r="M50" s="1">
        <v>10895</v>
      </c>
    </row>
    <row r="51" spans="11:13">
      <c r="K51" s="1" t="s">
        <v>120</v>
      </c>
      <c r="L51" s="1">
        <v>2010</v>
      </c>
      <c r="M51" s="1">
        <v>2532</v>
      </c>
    </row>
    <row r="52" spans="11:13">
      <c r="K52" s="1" t="s">
        <v>121</v>
      </c>
      <c r="L52" s="1">
        <v>2012</v>
      </c>
      <c r="M52" s="1">
        <v>10512</v>
      </c>
    </row>
    <row r="53" spans="11:13">
      <c r="K53" s="1" t="s">
        <v>122</v>
      </c>
      <c r="L53" s="1">
        <v>2014</v>
      </c>
      <c r="M53" s="1">
        <v>2743</v>
      </c>
    </row>
    <row r="54" spans="11:13">
      <c r="K54" s="1" t="s">
        <v>123</v>
      </c>
      <c r="L54" s="1">
        <v>2016</v>
      </c>
      <c r="M54" s="1">
        <v>11176</v>
      </c>
    </row>
  </sheetData>
  <mergeCells count="3">
    <mergeCell ref="A1:H1"/>
    <mergeCell ref="M3:N3"/>
    <mergeCell ref="P3:Q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8FC63-0CDE-4A01-A3B3-E5327082097F}">
  <dimension ref="A1:M69"/>
  <sheetViews>
    <sheetView workbookViewId="0">
      <selection activeCell="J8" sqref="J8"/>
    </sheetView>
  </sheetViews>
  <sheetFormatPr defaultRowHeight="15"/>
  <cols>
    <col min="8" max="8" width="17.140625" customWidth="1"/>
    <col min="12" max="12" width="14" style="4" customWidth="1"/>
    <col min="13" max="13" width="9.140625" style="4"/>
  </cols>
  <sheetData>
    <row r="1" spans="1:13">
      <c r="A1" s="32" t="s">
        <v>124</v>
      </c>
      <c r="B1" s="32"/>
      <c r="C1" s="32"/>
      <c r="D1" s="32"/>
      <c r="E1" s="32"/>
      <c r="F1" s="32"/>
      <c r="G1" s="32"/>
      <c r="H1" s="32"/>
      <c r="L1"/>
      <c r="M1"/>
    </row>
    <row r="2" spans="1:13">
      <c r="L2"/>
      <c r="M2"/>
    </row>
    <row r="3" spans="1:13">
      <c r="A3" s="3" t="s">
        <v>36</v>
      </c>
      <c r="B3" t="s">
        <v>125</v>
      </c>
      <c r="G3" s="3" t="s">
        <v>38</v>
      </c>
      <c r="H3" s="19" t="s">
        <v>126</v>
      </c>
      <c r="I3" s="19" t="s">
        <v>127</v>
      </c>
      <c r="K3" s="31" t="s">
        <v>42</v>
      </c>
      <c r="L3" s="31"/>
      <c r="M3"/>
    </row>
    <row r="4" spans="1:13">
      <c r="B4" t="s">
        <v>128</v>
      </c>
      <c r="H4" s="1" t="s">
        <v>129</v>
      </c>
      <c r="I4" s="1">
        <v>2016</v>
      </c>
      <c r="L4"/>
      <c r="M4"/>
    </row>
    <row r="5" spans="1:13">
      <c r="B5" t="s">
        <v>130</v>
      </c>
      <c r="H5" s="1" t="s">
        <v>131</v>
      </c>
      <c r="I5" s="1">
        <v>2000</v>
      </c>
      <c r="L5"/>
      <c r="M5"/>
    </row>
    <row r="6" spans="1:13">
      <c r="B6" t="s">
        <v>132</v>
      </c>
      <c r="H6" s="1" t="s">
        <v>133</v>
      </c>
      <c r="I6" s="1">
        <v>2000</v>
      </c>
      <c r="L6"/>
      <c r="M6"/>
    </row>
    <row r="7" spans="1:13">
      <c r="B7" t="s">
        <v>134</v>
      </c>
      <c r="H7" s="1" t="s">
        <v>135</v>
      </c>
      <c r="I7" s="1">
        <v>2000</v>
      </c>
      <c r="L7"/>
      <c r="M7"/>
    </row>
    <row r="8" spans="1:13">
      <c r="B8" t="s">
        <v>136</v>
      </c>
      <c r="H8" s="1" t="s">
        <v>137</v>
      </c>
      <c r="I8" s="1">
        <v>1998</v>
      </c>
      <c r="L8"/>
      <c r="M8"/>
    </row>
    <row r="9" spans="1:13">
      <c r="B9" t="s">
        <v>138</v>
      </c>
      <c r="H9" s="1" t="s">
        <v>139</v>
      </c>
      <c r="I9" s="1">
        <v>1996</v>
      </c>
      <c r="L9"/>
      <c r="M9"/>
    </row>
    <row r="10" spans="1:13">
      <c r="B10" t="s">
        <v>72</v>
      </c>
      <c r="H10" s="1" t="s">
        <v>140</v>
      </c>
      <c r="I10" s="1">
        <v>1996</v>
      </c>
      <c r="L10"/>
      <c r="M10"/>
    </row>
    <row r="11" spans="1:13">
      <c r="B11" t="s">
        <v>141</v>
      </c>
      <c r="H11" s="1" t="s">
        <v>142</v>
      </c>
      <c r="I11" s="1">
        <v>1992</v>
      </c>
      <c r="L11"/>
      <c r="M11"/>
    </row>
    <row r="12" spans="1:13">
      <c r="B12" t="s">
        <v>143</v>
      </c>
      <c r="H12" s="1" t="s">
        <v>144</v>
      </c>
      <c r="I12" s="1">
        <v>1992</v>
      </c>
      <c r="L12"/>
      <c r="M12"/>
    </row>
    <row r="13" spans="1:13">
      <c r="B13" t="s">
        <v>145</v>
      </c>
      <c r="H13" s="1" t="s">
        <v>146</v>
      </c>
      <c r="I13" s="1">
        <v>1992</v>
      </c>
      <c r="L13" s="8"/>
      <c r="M13" s="8"/>
    </row>
    <row r="14" spans="1:13">
      <c r="B14" t="s">
        <v>147</v>
      </c>
      <c r="H14" s="1" t="s">
        <v>148</v>
      </c>
      <c r="I14" s="1">
        <v>1992</v>
      </c>
    </row>
    <row r="15" spans="1:13">
      <c r="B15" t="s">
        <v>149</v>
      </c>
      <c r="H15" s="1" t="s">
        <v>150</v>
      </c>
      <c r="I15" s="1">
        <v>1988</v>
      </c>
    </row>
    <row r="16" spans="1:13">
      <c r="H16" s="1" t="s">
        <v>151</v>
      </c>
      <c r="I16" s="1">
        <v>1984</v>
      </c>
    </row>
    <row r="17" spans="8:9">
      <c r="H17" s="1" t="s">
        <v>152</v>
      </c>
      <c r="I17" s="1">
        <v>1984</v>
      </c>
    </row>
    <row r="18" spans="8:9">
      <c r="H18" s="1" t="s">
        <v>153</v>
      </c>
      <c r="I18" s="1">
        <v>1964</v>
      </c>
    </row>
    <row r="19" spans="8:9">
      <c r="H19" s="1" t="s">
        <v>154</v>
      </c>
      <c r="I19" s="1">
        <v>1964</v>
      </c>
    </row>
    <row r="20" spans="8:9">
      <c r="H20" s="1" t="s">
        <v>155</v>
      </c>
      <c r="I20" s="1">
        <v>1964</v>
      </c>
    </row>
    <row r="21" spans="8:9">
      <c r="H21" s="1" t="s">
        <v>156</v>
      </c>
      <c r="I21" s="1">
        <v>1960</v>
      </c>
    </row>
    <row r="22" spans="8:9">
      <c r="H22" s="1" t="s">
        <v>157</v>
      </c>
      <c r="I22" s="1">
        <v>1936</v>
      </c>
    </row>
    <row r="23" spans="8:9">
      <c r="H23" s="1" t="s">
        <v>158</v>
      </c>
      <c r="I23" s="1">
        <v>1936</v>
      </c>
    </row>
    <row r="24" spans="8:9">
      <c r="H24" s="1" t="s">
        <v>159</v>
      </c>
      <c r="I24" s="1">
        <v>1936</v>
      </c>
    </row>
    <row r="25" spans="8:9">
      <c r="H25" s="1" t="s">
        <v>160</v>
      </c>
      <c r="I25" s="1">
        <v>1936</v>
      </c>
    </row>
    <row r="26" spans="8:9">
      <c r="H26" s="1" t="s">
        <v>161</v>
      </c>
      <c r="I26" s="1">
        <v>1936</v>
      </c>
    </row>
    <row r="27" spans="8:9">
      <c r="H27" s="1" t="s">
        <v>162</v>
      </c>
      <c r="I27" s="1">
        <v>1928</v>
      </c>
    </row>
    <row r="28" spans="8:9">
      <c r="H28" s="1" t="s">
        <v>163</v>
      </c>
      <c r="I28" s="1">
        <v>1924</v>
      </c>
    </row>
    <row r="29" spans="8:9">
      <c r="H29" s="1" t="s">
        <v>164</v>
      </c>
      <c r="I29" s="1">
        <v>1924</v>
      </c>
    </row>
    <row r="30" spans="8:9">
      <c r="H30" s="1" t="s">
        <v>165</v>
      </c>
      <c r="I30" s="1">
        <v>1924</v>
      </c>
    </row>
    <row r="31" spans="8:9">
      <c r="H31" s="1" t="s">
        <v>166</v>
      </c>
      <c r="I31" s="1">
        <v>1924</v>
      </c>
    </row>
    <row r="32" spans="8:9">
      <c r="H32" s="1" t="s">
        <v>167</v>
      </c>
      <c r="I32" s="1">
        <v>1924</v>
      </c>
    </row>
    <row r="33" spans="8:9">
      <c r="H33" s="1" t="s">
        <v>168</v>
      </c>
      <c r="I33" s="1">
        <v>1924</v>
      </c>
    </row>
    <row r="34" spans="8:9">
      <c r="H34" s="1" t="s">
        <v>169</v>
      </c>
      <c r="I34" s="1">
        <v>1924</v>
      </c>
    </row>
    <row r="35" spans="8:9">
      <c r="H35" s="1" t="s">
        <v>170</v>
      </c>
      <c r="I35" s="1">
        <v>1924</v>
      </c>
    </row>
    <row r="36" spans="8:9">
      <c r="H36" s="1" t="s">
        <v>171</v>
      </c>
      <c r="I36" s="1">
        <v>1920</v>
      </c>
    </row>
    <row r="37" spans="8:9">
      <c r="H37" s="1" t="s">
        <v>172</v>
      </c>
      <c r="I37" s="1">
        <v>1912</v>
      </c>
    </row>
    <row r="38" spans="8:9">
      <c r="H38" s="1" t="s">
        <v>173</v>
      </c>
      <c r="I38" s="1">
        <v>1912</v>
      </c>
    </row>
    <row r="39" spans="8:9">
      <c r="H39" s="1" t="s">
        <v>174</v>
      </c>
      <c r="I39" s="1">
        <v>1908</v>
      </c>
    </row>
    <row r="40" spans="8:9">
      <c r="H40" s="1" t="s">
        <v>175</v>
      </c>
      <c r="I40" s="1">
        <v>1908</v>
      </c>
    </row>
    <row r="41" spans="8:9">
      <c r="H41" s="1" t="s">
        <v>176</v>
      </c>
      <c r="I41" s="1">
        <v>1908</v>
      </c>
    </row>
    <row r="42" spans="8:9">
      <c r="H42" s="1" t="s">
        <v>177</v>
      </c>
      <c r="I42" s="1">
        <v>1908</v>
      </c>
    </row>
    <row r="43" spans="8:9">
      <c r="H43" s="1" t="s">
        <v>178</v>
      </c>
      <c r="I43" s="1">
        <v>1908</v>
      </c>
    </row>
    <row r="44" spans="8:9">
      <c r="H44" s="1" t="s">
        <v>179</v>
      </c>
      <c r="I44" s="1">
        <v>1904</v>
      </c>
    </row>
    <row r="45" spans="8:9">
      <c r="H45" s="1" t="s">
        <v>180</v>
      </c>
      <c r="I45" s="1">
        <v>1904</v>
      </c>
    </row>
    <row r="46" spans="8:9">
      <c r="H46" s="1" t="s">
        <v>181</v>
      </c>
      <c r="I46" s="1">
        <v>1904</v>
      </c>
    </row>
    <row r="47" spans="8:9">
      <c r="H47" s="1" t="s">
        <v>182</v>
      </c>
      <c r="I47" s="1">
        <v>1904</v>
      </c>
    </row>
    <row r="48" spans="8:9">
      <c r="H48" s="1" t="s">
        <v>183</v>
      </c>
      <c r="I48" s="1">
        <v>1900</v>
      </c>
    </row>
    <row r="49" spans="8:9">
      <c r="H49" s="1" t="s">
        <v>184</v>
      </c>
      <c r="I49" s="1">
        <v>1900</v>
      </c>
    </row>
    <row r="50" spans="8:9">
      <c r="H50" s="1" t="s">
        <v>185</v>
      </c>
      <c r="I50" s="1">
        <v>1900</v>
      </c>
    </row>
    <row r="51" spans="8:9">
      <c r="H51" s="1" t="s">
        <v>186</v>
      </c>
      <c r="I51" s="1">
        <v>1900</v>
      </c>
    </row>
    <row r="52" spans="8:9">
      <c r="H52" s="1" t="s">
        <v>187</v>
      </c>
      <c r="I52" s="1">
        <v>1900</v>
      </c>
    </row>
    <row r="53" spans="8:9">
      <c r="H53" s="1" t="s">
        <v>188</v>
      </c>
      <c r="I53" s="1">
        <v>1900</v>
      </c>
    </row>
    <row r="54" spans="8:9">
      <c r="H54" s="1" t="s">
        <v>189</v>
      </c>
      <c r="I54" s="1">
        <v>1900</v>
      </c>
    </row>
    <row r="55" spans="8:9">
      <c r="H55" s="1" t="s">
        <v>190</v>
      </c>
      <c r="I55" s="1">
        <v>1900</v>
      </c>
    </row>
    <row r="56" spans="8:9">
      <c r="H56" s="1" t="s">
        <v>191</v>
      </c>
      <c r="I56" s="1">
        <v>1900</v>
      </c>
    </row>
    <row r="57" spans="8:9">
      <c r="H57" s="1" t="s">
        <v>192</v>
      </c>
      <c r="I57" s="1">
        <v>1900</v>
      </c>
    </row>
    <row r="58" spans="8:9">
      <c r="H58" s="1" t="s">
        <v>193</v>
      </c>
      <c r="I58" s="1">
        <v>1900</v>
      </c>
    </row>
    <row r="59" spans="8:9">
      <c r="H59" s="1" t="s">
        <v>194</v>
      </c>
      <c r="I59" s="1">
        <v>1900</v>
      </c>
    </row>
    <row r="60" spans="8:9">
      <c r="H60" s="1" t="s">
        <v>195</v>
      </c>
      <c r="I60" s="1">
        <v>1900</v>
      </c>
    </row>
    <row r="61" spans="8:9">
      <c r="H61" s="1" t="s">
        <v>196</v>
      </c>
      <c r="I61" s="1">
        <v>1896</v>
      </c>
    </row>
    <row r="62" spans="8:9">
      <c r="H62" s="1" t="s">
        <v>197</v>
      </c>
      <c r="I62" s="1">
        <v>1896</v>
      </c>
    </row>
    <row r="63" spans="8:9">
      <c r="H63" s="1" t="s">
        <v>198</v>
      </c>
      <c r="I63" s="1">
        <v>1896</v>
      </c>
    </row>
    <row r="64" spans="8:9">
      <c r="H64" s="1" t="s">
        <v>199</v>
      </c>
      <c r="I64" s="1">
        <v>1896</v>
      </c>
    </row>
    <row r="65" spans="8:9">
      <c r="H65" s="1" t="s">
        <v>200</v>
      </c>
      <c r="I65" s="1">
        <v>1896</v>
      </c>
    </row>
    <row r="66" spans="8:9">
      <c r="H66" s="1" t="s">
        <v>201</v>
      </c>
      <c r="I66" s="1">
        <v>1896</v>
      </c>
    </row>
    <row r="67" spans="8:9">
      <c r="H67" s="1" t="s">
        <v>202</v>
      </c>
      <c r="I67" s="1">
        <v>1896</v>
      </c>
    </row>
    <row r="68" spans="8:9">
      <c r="H68" s="1" t="s">
        <v>203</v>
      </c>
      <c r="I68" s="1">
        <v>1896</v>
      </c>
    </row>
    <row r="69" spans="8:9">
      <c r="H69" s="1" t="s">
        <v>204</v>
      </c>
      <c r="I69" s="1">
        <v>1896</v>
      </c>
    </row>
  </sheetData>
  <sortState xmlns:xlrd2="http://schemas.microsoft.com/office/spreadsheetml/2017/richdata2" ref="L14:M79">
    <sortCondition ref="L14:L79"/>
  </sortState>
  <mergeCells count="2">
    <mergeCell ref="A1:H1"/>
    <mergeCell ref="K3:L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2E11B-3E03-43B5-999E-5AABA0F21CB4}">
  <dimension ref="A1:R909"/>
  <sheetViews>
    <sheetView workbookViewId="0">
      <selection activeCell="AA18" sqref="AA18"/>
    </sheetView>
  </sheetViews>
  <sheetFormatPr defaultRowHeight="15"/>
  <cols>
    <col min="8" max="8" width="14.140625" customWidth="1"/>
    <col min="9" max="9" width="12.28515625" customWidth="1"/>
    <col min="10" max="10" width="17.42578125" customWidth="1"/>
    <col min="12" max="12" width="24.140625" bestFit="1" customWidth="1"/>
    <col min="13" max="13" width="15" bestFit="1" customWidth="1"/>
    <col min="14" max="14" width="7.85546875" bestFit="1" customWidth="1"/>
    <col min="15" max="15" width="9" bestFit="1" customWidth="1"/>
    <col min="16" max="16" width="10.42578125" bestFit="1" customWidth="1"/>
    <col min="17" max="17" width="9.7109375" bestFit="1" customWidth="1"/>
    <col min="18" max="18" width="11.7109375" bestFit="1" customWidth="1"/>
    <col min="19" max="19" width="13" bestFit="1" customWidth="1"/>
    <col min="20" max="20" width="7" bestFit="1" customWidth="1"/>
    <col min="21" max="21" width="11.5703125" bestFit="1" customWidth="1"/>
    <col min="22" max="22" width="12.28515625" bestFit="1" customWidth="1"/>
    <col min="23" max="23" width="23.28515625" bestFit="1" customWidth="1"/>
    <col min="24" max="24" width="10.42578125" bestFit="1" customWidth="1"/>
    <col min="25" max="25" width="13.7109375" bestFit="1" customWidth="1"/>
    <col min="26" max="26" width="8" bestFit="1" customWidth="1"/>
    <col min="27" max="27" width="14.140625" bestFit="1" customWidth="1"/>
    <col min="28" max="28" width="11.5703125" bestFit="1" customWidth="1"/>
    <col min="29" max="29" width="8.85546875" bestFit="1" customWidth="1"/>
    <col min="30" max="30" width="24.7109375" bestFit="1" customWidth="1"/>
    <col min="31" max="31" width="9" bestFit="1" customWidth="1"/>
    <col min="32" max="32" width="7" bestFit="1" customWidth="1"/>
    <col min="33" max="33" width="13.42578125" bestFit="1" customWidth="1"/>
    <col min="34" max="34" width="6.7109375" bestFit="1" customWidth="1"/>
    <col min="35" max="35" width="7.85546875" bestFit="1" customWidth="1"/>
    <col min="36" max="36" width="6.85546875" bestFit="1" customWidth="1"/>
    <col min="37" max="37" width="20.5703125" bestFit="1" customWidth="1"/>
    <col min="38" max="38" width="9.28515625" bestFit="1" customWidth="1"/>
    <col min="39" max="39" width="5.140625" bestFit="1" customWidth="1"/>
    <col min="40" max="40" width="16.7109375" bestFit="1" customWidth="1"/>
    <col min="41" max="41" width="13.7109375" bestFit="1" customWidth="1"/>
    <col min="42" max="42" width="19" bestFit="1" customWidth="1"/>
    <col min="43" max="43" width="17.42578125" bestFit="1" customWidth="1"/>
    <col min="44" max="44" width="5.42578125" bestFit="1" customWidth="1"/>
    <col min="45" max="45" width="8.7109375" bestFit="1" customWidth="1"/>
    <col min="46" max="46" width="5.42578125" bestFit="1" customWidth="1"/>
    <col min="47" max="47" width="13.85546875" bestFit="1" customWidth="1"/>
    <col min="48" max="48" width="10.7109375" bestFit="1" customWidth="1"/>
    <col min="49" max="49" width="7.7109375" bestFit="1" customWidth="1"/>
    <col min="50" max="50" width="9.140625" bestFit="1" customWidth="1"/>
    <col min="51" max="51" width="11.28515625" bestFit="1" customWidth="1"/>
    <col min="52" max="52" width="4.85546875" bestFit="1" customWidth="1"/>
    <col min="53" max="53" width="15.140625" bestFit="1" customWidth="1"/>
    <col min="54" max="54" width="8.42578125" bestFit="1" customWidth="1"/>
    <col min="55" max="55" width="13.85546875" bestFit="1" customWidth="1"/>
    <col min="56" max="56" width="8" bestFit="1" customWidth="1"/>
    <col min="57" max="57" width="13.85546875" bestFit="1" customWidth="1"/>
    <col min="58" max="58" width="6.7109375" bestFit="1" customWidth="1"/>
    <col min="59" max="60" width="7.42578125" bestFit="1" customWidth="1"/>
    <col min="61" max="61" width="19.5703125" bestFit="1" customWidth="1"/>
    <col min="62" max="62" width="8.28515625" bestFit="1" customWidth="1"/>
    <col min="63" max="63" width="7.28515625" bestFit="1" customWidth="1"/>
    <col min="64" max="64" width="9.42578125" bestFit="1" customWidth="1"/>
    <col min="65" max="65" width="7.140625" bestFit="1" customWidth="1"/>
    <col min="66" max="66" width="9.85546875" bestFit="1" customWidth="1"/>
    <col min="67" max="67" width="8.7109375" bestFit="1" customWidth="1"/>
    <col min="68" max="68" width="16" bestFit="1" customWidth="1"/>
    <col min="69" max="69" width="14" bestFit="1" customWidth="1"/>
    <col min="70" max="70" width="10.42578125" bestFit="1" customWidth="1"/>
    <col min="71" max="71" width="8.5703125" bestFit="1" customWidth="1"/>
    <col min="72" max="72" width="11" bestFit="1" customWidth="1"/>
    <col min="73" max="73" width="9" bestFit="1" customWidth="1"/>
    <col min="74" max="74" width="16.5703125" bestFit="1" customWidth="1"/>
    <col min="75" max="75" width="8.140625" bestFit="1" customWidth="1"/>
    <col min="76" max="76" width="8.85546875" bestFit="1" customWidth="1"/>
    <col min="77" max="77" width="12.5703125" bestFit="1" customWidth="1"/>
    <col min="78" max="78" width="11.85546875" bestFit="1" customWidth="1"/>
    <col min="79" max="79" width="11.7109375" bestFit="1" customWidth="1"/>
  </cols>
  <sheetData>
    <row r="1" spans="1:18">
      <c r="A1" s="32" t="s">
        <v>205</v>
      </c>
      <c r="B1" s="32"/>
      <c r="C1" s="32"/>
      <c r="D1" s="32"/>
      <c r="E1" s="32"/>
      <c r="F1" s="32"/>
      <c r="G1" s="32"/>
      <c r="H1" s="32"/>
    </row>
    <row r="3" spans="1:18">
      <c r="A3" s="3" t="s">
        <v>36</v>
      </c>
      <c r="B3" t="s">
        <v>57</v>
      </c>
      <c r="G3" s="3" t="s">
        <v>38</v>
      </c>
      <c r="H3" s="20" t="s">
        <v>40</v>
      </c>
      <c r="I3" s="20" t="s">
        <v>126</v>
      </c>
      <c r="J3" s="20" t="s">
        <v>67</v>
      </c>
      <c r="K3" s="31" t="s">
        <v>42</v>
      </c>
      <c r="L3" s="31"/>
    </row>
    <row r="4" spans="1:18">
      <c r="B4" t="s">
        <v>45</v>
      </c>
      <c r="H4" s="1">
        <v>1896</v>
      </c>
      <c r="I4" s="1" t="s">
        <v>198</v>
      </c>
      <c r="J4" s="1">
        <v>34</v>
      </c>
    </row>
    <row r="5" spans="1:18">
      <c r="B5" t="s">
        <v>206</v>
      </c>
      <c r="H5" s="1">
        <v>1896</v>
      </c>
      <c r="I5" s="1" t="s">
        <v>200</v>
      </c>
      <c r="J5" s="1">
        <v>17</v>
      </c>
    </row>
    <row r="6" spans="1:18">
      <c r="B6" t="s">
        <v>207</v>
      </c>
      <c r="H6" s="1">
        <v>1896</v>
      </c>
      <c r="I6" s="1" t="s">
        <v>197</v>
      </c>
      <c r="J6" s="1">
        <v>10</v>
      </c>
    </row>
    <row r="7" spans="1:18">
      <c r="B7" t="s">
        <v>208</v>
      </c>
      <c r="H7" s="1">
        <v>1896</v>
      </c>
      <c r="I7" s="1" t="s">
        <v>201</v>
      </c>
      <c r="J7" s="1">
        <v>8</v>
      </c>
    </row>
    <row r="8" spans="1:18">
      <c r="B8" t="s">
        <v>209</v>
      </c>
      <c r="H8" s="1">
        <v>1896</v>
      </c>
      <c r="I8" s="1" t="s">
        <v>196</v>
      </c>
      <c r="J8" s="1">
        <v>7</v>
      </c>
    </row>
    <row r="9" spans="1:18">
      <c r="B9" t="s">
        <v>210</v>
      </c>
      <c r="H9" s="1">
        <v>1896</v>
      </c>
      <c r="I9" s="1" t="s">
        <v>202</v>
      </c>
      <c r="J9" s="1">
        <v>6</v>
      </c>
    </row>
    <row r="10" spans="1:18">
      <c r="B10" t="s">
        <v>211</v>
      </c>
      <c r="H10" s="1">
        <v>1896</v>
      </c>
      <c r="I10" s="1" t="s">
        <v>199</v>
      </c>
      <c r="J10" s="1">
        <v>4</v>
      </c>
    </row>
    <row r="11" spans="1:18">
      <c r="B11" t="s">
        <v>212</v>
      </c>
      <c r="H11" s="1">
        <v>1896</v>
      </c>
      <c r="I11" s="1" t="s">
        <v>203</v>
      </c>
      <c r="J11" s="1">
        <v>4</v>
      </c>
    </row>
    <row r="12" spans="1:18">
      <c r="B12" t="s">
        <v>143</v>
      </c>
      <c r="H12" s="1">
        <v>1896</v>
      </c>
      <c r="I12" s="1" t="s">
        <v>204</v>
      </c>
      <c r="J12" s="1">
        <v>3</v>
      </c>
    </row>
    <row r="13" spans="1:18">
      <c r="B13" t="s">
        <v>145</v>
      </c>
      <c r="H13" s="1">
        <v>1900</v>
      </c>
      <c r="I13" s="1" t="s">
        <v>198</v>
      </c>
      <c r="J13" s="1">
        <v>102</v>
      </c>
    </row>
    <row r="14" spans="1:18">
      <c r="B14" t="s">
        <v>147</v>
      </c>
      <c r="H14" s="1">
        <v>1900</v>
      </c>
      <c r="I14" s="1" t="s">
        <v>202</v>
      </c>
      <c r="J14" s="1">
        <v>101</v>
      </c>
    </row>
    <row r="15" spans="1:18">
      <c r="B15" t="s">
        <v>149</v>
      </c>
      <c r="H15" s="1">
        <v>1900</v>
      </c>
      <c r="I15" s="1" t="s">
        <v>185</v>
      </c>
      <c r="J15" s="1">
        <v>70</v>
      </c>
      <c r="L15" s="12" t="s">
        <v>213</v>
      </c>
      <c r="M15" s="12" t="s">
        <v>126</v>
      </c>
    </row>
    <row r="16" spans="1:18">
      <c r="H16" s="1">
        <v>1900</v>
      </c>
      <c r="I16" s="1" t="s">
        <v>187</v>
      </c>
      <c r="J16" s="1">
        <v>47</v>
      </c>
      <c r="L16" s="12" t="s">
        <v>40</v>
      </c>
      <c r="M16" t="s">
        <v>198</v>
      </c>
      <c r="N16" t="s">
        <v>185</v>
      </c>
      <c r="O16" t="s">
        <v>197</v>
      </c>
      <c r="P16" t="s">
        <v>199</v>
      </c>
      <c r="Q16" t="s">
        <v>204</v>
      </c>
      <c r="R16" t="s">
        <v>214</v>
      </c>
    </row>
    <row r="17" spans="8:18">
      <c r="H17" s="1">
        <v>1900</v>
      </c>
      <c r="I17" s="1" t="s">
        <v>197</v>
      </c>
      <c r="J17" s="1">
        <v>46</v>
      </c>
      <c r="L17">
        <v>1896</v>
      </c>
      <c r="M17" s="13">
        <v>34</v>
      </c>
      <c r="N17" s="13"/>
      <c r="O17" s="13">
        <v>10</v>
      </c>
      <c r="P17" s="13">
        <v>4</v>
      </c>
      <c r="Q17" s="13">
        <v>3</v>
      </c>
      <c r="R17" s="13">
        <v>51</v>
      </c>
    </row>
    <row r="18" spans="8:18">
      <c r="H18" s="1">
        <v>1900</v>
      </c>
      <c r="I18" s="1" t="s">
        <v>194</v>
      </c>
      <c r="J18" s="1">
        <v>33</v>
      </c>
      <c r="L18">
        <v>1900</v>
      </c>
      <c r="M18" s="13">
        <v>102</v>
      </c>
      <c r="N18" s="13">
        <v>70</v>
      </c>
      <c r="O18" s="13">
        <v>46</v>
      </c>
      <c r="P18" s="13">
        <v>33</v>
      </c>
      <c r="Q18" s="13"/>
      <c r="R18" s="13">
        <v>251</v>
      </c>
    </row>
    <row r="19" spans="8:18">
      <c r="H19" s="1">
        <v>1900</v>
      </c>
      <c r="I19" s="1" t="s">
        <v>200</v>
      </c>
      <c r="J19" s="1">
        <v>33</v>
      </c>
      <c r="L19">
        <v>1904</v>
      </c>
      <c r="M19" s="13">
        <v>94</v>
      </c>
      <c r="N19" s="13">
        <v>37</v>
      </c>
      <c r="O19" s="13"/>
      <c r="P19" s="13">
        <v>28</v>
      </c>
      <c r="Q19" s="13">
        <v>31</v>
      </c>
      <c r="R19" s="13">
        <v>190</v>
      </c>
    </row>
    <row r="20" spans="8:18">
      <c r="H20" s="1">
        <v>1900</v>
      </c>
      <c r="I20" s="1" t="s">
        <v>199</v>
      </c>
      <c r="J20" s="1">
        <v>33</v>
      </c>
      <c r="L20">
        <v>1906</v>
      </c>
      <c r="M20" s="13">
        <v>131</v>
      </c>
      <c r="N20" s="13">
        <v>25</v>
      </c>
      <c r="O20" s="13">
        <v>30</v>
      </c>
      <c r="P20" s="13">
        <v>30</v>
      </c>
      <c r="Q20" s="13">
        <v>16</v>
      </c>
      <c r="R20" s="13">
        <v>232</v>
      </c>
    </row>
    <row r="21" spans="8:18">
      <c r="H21" s="1">
        <v>1900</v>
      </c>
      <c r="I21" s="1" t="s">
        <v>186</v>
      </c>
      <c r="J21" s="1">
        <v>26</v>
      </c>
      <c r="L21">
        <v>1908</v>
      </c>
      <c r="M21" s="13">
        <v>374</v>
      </c>
      <c r="N21" s="13">
        <v>68</v>
      </c>
      <c r="O21" s="13">
        <v>163</v>
      </c>
      <c r="P21" s="13">
        <v>80</v>
      </c>
      <c r="Q21" s="13">
        <v>65</v>
      </c>
      <c r="R21" s="13">
        <v>750</v>
      </c>
    </row>
    <row r="22" spans="8:18">
      <c r="H22" s="1">
        <v>1900</v>
      </c>
      <c r="I22" s="1" t="s">
        <v>195</v>
      </c>
      <c r="J22" s="1">
        <v>26</v>
      </c>
      <c r="L22">
        <v>1912</v>
      </c>
      <c r="M22" s="13">
        <v>523</v>
      </c>
      <c r="N22" s="13">
        <v>183</v>
      </c>
      <c r="O22" s="13">
        <v>281</v>
      </c>
      <c r="P22" s="13">
        <v>118</v>
      </c>
      <c r="Q22" s="13">
        <v>165</v>
      </c>
      <c r="R22" s="13">
        <v>1270</v>
      </c>
    </row>
    <row r="23" spans="8:18">
      <c r="H23" s="1">
        <v>1900</v>
      </c>
      <c r="I23" s="1" t="s">
        <v>196</v>
      </c>
      <c r="J23" s="1">
        <v>24</v>
      </c>
      <c r="L23">
        <v>1920</v>
      </c>
      <c r="M23" s="13">
        <v>436</v>
      </c>
      <c r="N23" s="13">
        <v>94</v>
      </c>
      <c r="O23" s="13">
        <v>180</v>
      </c>
      <c r="P23" s="13">
        <v>86</v>
      </c>
      <c r="Q23" s="13">
        <v>105</v>
      </c>
      <c r="R23" s="13">
        <v>901</v>
      </c>
    </row>
    <row r="24" spans="8:18">
      <c r="H24" s="1">
        <v>1900</v>
      </c>
      <c r="I24" s="1" t="s">
        <v>192</v>
      </c>
      <c r="J24" s="1">
        <v>18</v>
      </c>
      <c r="L24">
        <v>1924</v>
      </c>
      <c r="M24" s="13">
        <v>575</v>
      </c>
      <c r="N24" s="13">
        <v>132</v>
      </c>
      <c r="O24" s="13">
        <v>180</v>
      </c>
      <c r="P24" s="13">
        <v>138</v>
      </c>
      <c r="Q24" s="13">
        <v>155</v>
      </c>
      <c r="R24" s="13">
        <v>1180</v>
      </c>
    </row>
    <row r="25" spans="8:18">
      <c r="H25" s="1">
        <v>1900</v>
      </c>
      <c r="I25" s="1" t="s">
        <v>183</v>
      </c>
      <c r="J25" s="1">
        <v>18</v>
      </c>
      <c r="L25">
        <v>1928</v>
      </c>
      <c r="M25" s="13">
        <v>624</v>
      </c>
      <c r="N25" s="13">
        <v>173</v>
      </c>
      <c r="O25" s="13"/>
      <c r="P25" s="13">
        <v>146</v>
      </c>
      <c r="Q25" s="13">
        <v>116</v>
      </c>
      <c r="R25" s="13">
        <v>1059</v>
      </c>
    </row>
    <row r="26" spans="8:18">
      <c r="H26" s="1">
        <v>1900</v>
      </c>
      <c r="I26" s="1" t="s">
        <v>201</v>
      </c>
      <c r="J26" s="1">
        <v>18</v>
      </c>
      <c r="L26">
        <v>1932</v>
      </c>
      <c r="M26" s="13">
        <v>349</v>
      </c>
      <c r="N26" s="13">
        <v>130</v>
      </c>
      <c r="O26" s="13">
        <v>30</v>
      </c>
      <c r="P26" s="13">
        <v>107</v>
      </c>
      <c r="Q26" s="13">
        <v>67</v>
      </c>
      <c r="R26" s="13">
        <v>683</v>
      </c>
    </row>
    <row r="27" spans="8:18">
      <c r="H27" s="1">
        <v>1900</v>
      </c>
      <c r="I27" s="1" t="s">
        <v>190</v>
      </c>
      <c r="J27" s="1">
        <v>17</v>
      </c>
      <c r="L27">
        <v>1936</v>
      </c>
      <c r="M27" s="13">
        <v>762</v>
      </c>
      <c r="N27" s="13">
        <v>308</v>
      </c>
      <c r="O27" s="13">
        <v>133</v>
      </c>
      <c r="P27" s="13">
        <v>231</v>
      </c>
      <c r="Q27" s="13">
        <v>195</v>
      </c>
      <c r="R27" s="13">
        <v>1629</v>
      </c>
    </row>
    <row r="28" spans="8:18">
      <c r="H28" s="1">
        <v>1900</v>
      </c>
      <c r="I28" s="1" t="s">
        <v>184</v>
      </c>
      <c r="J28" s="1">
        <v>16</v>
      </c>
      <c r="L28">
        <v>1948</v>
      </c>
      <c r="M28" s="13">
        <v>681</v>
      </c>
      <c r="N28" s="13">
        <v>239</v>
      </c>
      <c r="O28" s="13">
        <v>147</v>
      </c>
      <c r="P28" s="13">
        <v>201</v>
      </c>
      <c r="Q28" s="13">
        <v>147</v>
      </c>
      <c r="R28" s="13">
        <v>1415</v>
      </c>
    </row>
    <row r="29" spans="8:18">
      <c r="H29" s="1">
        <v>1900</v>
      </c>
      <c r="I29" s="1" t="s">
        <v>191</v>
      </c>
      <c r="J29" s="1">
        <v>16</v>
      </c>
      <c r="L29">
        <v>1952</v>
      </c>
      <c r="M29" s="13">
        <v>942</v>
      </c>
      <c r="N29" s="13">
        <v>383</v>
      </c>
      <c r="O29" s="13">
        <v>201</v>
      </c>
      <c r="P29" s="13">
        <v>302</v>
      </c>
      <c r="Q29" s="13">
        <v>224</v>
      </c>
      <c r="R29" s="13">
        <v>2052</v>
      </c>
    </row>
    <row r="30" spans="8:18">
      <c r="H30" s="1">
        <v>1900</v>
      </c>
      <c r="I30" s="1" t="s">
        <v>193</v>
      </c>
      <c r="J30" s="1">
        <v>11</v>
      </c>
      <c r="L30">
        <v>1956</v>
      </c>
      <c r="M30" s="13">
        <v>668</v>
      </c>
      <c r="N30" s="13">
        <v>195</v>
      </c>
      <c r="O30" s="13">
        <v>125</v>
      </c>
      <c r="P30" s="13">
        <v>193</v>
      </c>
      <c r="Q30" s="13">
        <v>145</v>
      </c>
      <c r="R30" s="13">
        <v>1326</v>
      </c>
    </row>
    <row r="31" spans="8:18">
      <c r="H31" s="1">
        <v>1900</v>
      </c>
      <c r="I31" s="1" t="s">
        <v>188</v>
      </c>
      <c r="J31" s="1">
        <v>8</v>
      </c>
      <c r="L31">
        <v>1960</v>
      </c>
      <c r="M31" s="13">
        <v>989</v>
      </c>
      <c r="N31" s="13">
        <v>400</v>
      </c>
      <c r="O31" s="13">
        <v>302</v>
      </c>
      <c r="P31" s="13">
        <v>376</v>
      </c>
      <c r="Q31" s="13">
        <v>312</v>
      </c>
      <c r="R31" s="13">
        <v>2379</v>
      </c>
    </row>
    <row r="32" spans="8:18">
      <c r="H32" s="1">
        <v>1900</v>
      </c>
      <c r="I32" s="1" t="s">
        <v>189</v>
      </c>
      <c r="J32" s="1">
        <v>2</v>
      </c>
      <c r="L32">
        <v>1964</v>
      </c>
      <c r="M32" s="13">
        <v>999</v>
      </c>
      <c r="N32" s="13">
        <v>366</v>
      </c>
      <c r="O32" s="13">
        <v>259</v>
      </c>
      <c r="P32" s="13">
        <v>401</v>
      </c>
      <c r="Q32" s="13">
        <v>272</v>
      </c>
      <c r="R32" s="13">
        <v>2297</v>
      </c>
    </row>
    <row r="33" spans="8:18">
      <c r="H33" s="1">
        <v>1904</v>
      </c>
      <c r="I33" s="1" t="s">
        <v>198</v>
      </c>
      <c r="J33" s="1">
        <v>94</v>
      </c>
      <c r="L33">
        <v>1968</v>
      </c>
      <c r="M33" s="13">
        <v>1005</v>
      </c>
      <c r="N33" s="13">
        <v>352</v>
      </c>
      <c r="O33" s="13">
        <v>345</v>
      </c>
      <c r="P33" s="13">
        <v>465</v>
      </c>
      <c r="Q33" s="13">
        <v>281</v>
      </c>
      <c r="R33" s="13">
        <v>2448</v>
      </c>
    </row>
    <row r="34" spans="8:18">
      <c r="H34" s="1">
        <v>1904</v>
      </c>
      <c r="I34" s="1" t="s">
        <v>200</v>
      </c>
      <c r="J34" s="1">
        <v>82</v>
      </c>
      <c r="L34">
        <v>1972</v>
      </c>
      <c r="M34" s="13">
        <v>1305</v>
      </c>
      <c r="N34" s="13">
        <v>437</v>
      </c>
      <c r="O34" s="13">
        <v>396</v>
      </c>
      <c r="P34" s="13">
        <v>524</v>
      </c>
      <c r="Q34" s="13">
        <v>381</v>
      </c>
      <c r="R34" s="13">
        <v>3043</v>
      </c>
    </row>
    <row r="35" spans="8:18">
      <c r="H35" s="1">
        <v>1904</v>
      </c>
      <c r="I35" s="1" t="s">
        <v>191</v>
      </c>
      <c r="J35" s="1">
        <v>69</v>
      </c>
      <c r="L35">
        <v>1976</v>
      </c>
      <c r="M35" s="13">
        <v>996</v>
      </c>
      <c r="N35" s="13">
        <v>591</v>
      </c>
      <c r="O35" s="13">
        <v>343</v>
      </c>
      <c r="P35" s="13">
        <v>465</v>
      </c>
      <c r="Q35" s="13">
        <v>324</v>
      </c>
      <c r="R35" s="13">
        <v>2719</v>
      </c>
    </row>
    <row r="36" spans="8:18">
      <c r="H36" s="1">
        <v>1904</v>
      </c>
      <c r="I36" s="1" t="s">
        <v>185</v>
      </c>
      <c r="J36" s="1">
        <v>37</v>
      </c>
      <c r="L36">
        <v>1980</v>
      </c>
      <c r="M36" s="13">
        <v>924</v>
      </c>
      <c r="N36" s="13">
        <v>470</v>
      </c>
      <c r="O36" s="13">
        <v>237</v>
      </c>
      <c r="P36" s="13">
        <v>323</v>
      </c>
      <c r="Q36" s="13">
        <v>255</v>
      </c>
      <c r="R36" s="13">
        <v>2209</v>
      </c>
    </row>
    <row r="37" spans="8:18">
      <c r="H37" s="1">
        <v>1904</v>
      </c>
      <c r="I37" s="1" t="s">
        <v>184</v>
      </c>
      <c r="J37" s="1">
        <v>32</v>
      </c>
      <c r="L37">
        <v>1984</v>
      </c>
      <c r="M37" s="13">
        <v>1240</v>
      </c>
      <c r="N37" s="13">
        <v>446</v>
      </c>
      <c r="O37" s="13">
        <v>439</v>
      </c>
      <c r="P37" s="13">
        <v>479</v>
      </c>
      <c r="Q37" s="13">
        <v>258</v>
      </c>
      <c r="R37" s="13">
        <v>2862</v>
      </c>
    </row>
    <row r="38" spans="8:18">
      <c r="H38" s="1">
        <v>1904</v>
      </c>
      <c r="I38" s="1" t="s">
        <v>204</v>
      </c>
      <c r="J38" s="1">
        <v>31</v>
      </c>
      <c r="L38">
        <v>1988</v>
      </c>
      <c r="M38" s="13">
        <v>1587</v>
      </c>
      <c r="N38" s="13">
        <v>591</v>
      </c>
      <c r="O38" s="13">
        <v>392</v>
      </c>
      <c r="P38" s="13">
        <v>629</v>
      </c>
      <c r="Q38" s="13">
        <v>411</v>
      </c>
      <c r="R38" s="13">
        <v>3610</v>
      </c>
    </row>
    <row r="39" spans="8:18">
      <c r="H39" s="1">
        <v>1904</v>
      </c>
      <c r="I39" s="1" t="s">
        <v>201</v>
      </c>
      <c r="J39" s="1">
        <v>29</v>
      </c>
      <c r="L39">
        <v>1992</v>
      </c>
      <c r="M39" s="13">
        <v>1704</v>
      </c>
      <c r="N39" s="13">
        <v>621</v>
      </c>
      <c r="O39" s="13">
        <v>405</v>
      </c>
      <c r="P39" s="13">
        <v>638</v>
      </c>
      <c r="Q39" s="13">
        <v>370</v>
      </c>
      <c r="R39" s="13">
        <v>3738</v>
      </c>
    </row>
    <row r="40" spans="8:18">
      <c r="H40" s="1">
        <v>1904</v>
      </c>
      <c r="I40" s="1" t="s">
        <v>199</v>
      </c>
      <c r="J40" s="1">
        <v>28</v>
      </c>
      <c r="L40">
        <v>1996</v>
      </c>
      <c r="M40" s="13">
        <v>2042</v>
      </c>
      <c r="N40" s="13">
        <v>608</v>
      </c>
      <c r="O40" s="13">
        <v>419</v>
      </c>
      <c r="P40" s="13">
        <v>759</v>
      </c>
      <c r="Q40" s="13">
        <v>400</v>
      </c>
      <c r="R40" s="13">
        <v>4228</v>
      </c>
    </row>
    <row r="41" spans="8:18">
      <c r="H41" s="1">
        <v>1904</v>
      </c>
      <c r="I41" s="1" t="s">
        <v>190</v>
      </c>
      <c r="J41" s="1">
        <v>24</v>
      </c>
      <c r="L41">
        <v>2000</v>
      </c>
      <c r="M41" s="13">
        <v>2135</v>
      </c>
      <c r="N41" s="13">
        <v>547</v>
      </c>
      <c r="O41" s="13">
        <v>408</v>
      </c>
      <c r="P41" s="13">
        <v>954</v>
      </c>
      <c r="Q41" s="13">
        <v>314</v>
      </c>
      <c r="R41" s="13">
        <v>4358</v>
      </c>
    </row>
    <row r="42" spans="8:18">
      <c r="H42" s="1">
        <v>1904</v>
      </c>
      <c r="I42" s="1" t="s">
        <v>182</v>
      </c>
      <c r="J42" s="1">
        <v>17</v>
      </c>
      <c r="L42">
        <v>2004</v>
      </c>
      <c r="M42" s="13">
        <v>1993</v>
      </c>
      <c r="N42" s="13">
        <v>557</v>
      </c>
      <c r="O42" s="13">
        <v>390</v>
      </c>
      <c r="P42" s="13">
        <v>937</v>
      </c>
      <c r="Q42" s="13">
        <v>342</v>
      </c>
      <c r="R42" s="13">
        <v>4219</v>
      </c>
    </row>
    <row r="43" spans="8:18">
      <c r="H43" s="1">
        <v>1904</v>
      </c>
      <c r="I43" s="1" t="s">
        <v>195</v>
      </c>
      <c r="J43" s="1">
        <v>17</v>
      </c>
      <c r="L43">
        <v>2008</v>
      </c>
      <c r="M43" s="13">
        <v>2053</v>
      </c>
      <c r="N43" s="13">
        <v>555</v>
      </c>
      <c r="O43" s="13">
        <v>390</v>
      </c>
      <c r="P43" s="13">
        <v>1022</v>
      </c>
      <c r="Q43" s="13">
        <v>343</v>
      </c>
      <c r="R43" s="13">
        <v>4363</v>
      </c>
    </row>
    <row r="44" spans="8:18">
      <c r="H44" s="1">
        <v>1904</v>
      </c>
      <c r="I44" s="1" t="s">
        <v>181</v>
      </c>
      <c r="J44" s="1">
        <v>14</v>
      </c>
      <c r="L44">
        <v>2012</v>
      </c>
      <c r="M44" s="13">
        <v>2075</v>
      </c>
      <c r="N44" s="13">
        <v>549</v>
      </c>
      <c r="O44" s="13">
        <v>390</v>
      </c>
      <c r="P44" s="13">
        <v>931</v>
      </c>
      <c r="Q44" s="13">
        <v>339</v>
      </c>
      <c r="R44" s="13">
        <v>4284</v>
      </c>
    </row>
    <row r="45" spans="8:18">
      <c r="H45" s="1">
        <v>1904</v>
      </c>
      <c r="I45" s="1" t="s">
        <v>196</v>
      </c>
      <c r="J45" s="1">
        <v>14</v>
      </c>
      <c r="L45">
        <v>2016</v>
      </c>
      <c r="M45" s="13">
        <v>2265</v>
      </c>
      <c r="N45" s="13">
        <v>546</v>
      </c>
      <c r="O45" s="13">
        <v>390</v>
      </c>
      <c r="P45" s="13">
        <v>941</v>
      </c>
      <c r="Q45" s="13">
        <v>346</v>
      </c>
      <c r="R45" s="13">
        <v>4488</v>
      </c>
    </row>
    <row r="46" spans="8:18">
      <c r="H46" s="1">
        <v>1904</v>
      </c>
      <c r="I46" s="1" t="s">
        <v>193</v>
      </c>
      <c r="J46" s="1">
        <v>13</v>
      </c>
      <c r="L46" t="s">
        <v>214</v>
      </c>
      <c r="M46" s="13">
        <v>29607</v>
      </c>
      <c r="N46" s="13">
        <v>9673</v>
      </c>
      <c r="O46" s="13">
        <v>7031</v>
      </c>
      <c r="P46" s="13">
        <v>11541</v>
      </c>
      <c r="Q46" s="13">
        <v>6382</v>
      </c>
      <c r="R46" s="13">
        <v>64234</v>
      </c>
    </row>
    <row r="47" spans="8:18">
      <c r="H47" s="1">
        <v>1904</v>
      </c>
      <c r="I47" s="1" t="s">
        <v>202</v>
      </c>
      <c r="J47" s="1">
        <v>10</v>
      </c>
    </row>
    <row r="48" spans="8:18">
      <c r="H48" s="1">
        <v>1904</v>
      </c>
      <c r="I48" s="1" t="s">
        <v>179</v>
      </c>
      <c r="J48" s="1">
        <v>3</v>
      </c>
    </row>
    <row r="49" spans="8:10">
      <c r="H49" s="1">
        <v>1904</v>
      </c>
      <c r="I49" s="1" t="s">
        <v>180</v>
      </c>
      <c r="J49" s="1">
        <v>3</v>
      </c>
    </row>
    <row r="50" spans="8:10">
      <c r="H50" s="1">
        <v>1904</v>
      </c>
      <c r="I50" s="1" t="s">
        <v>203</v>
      </c>
      <c r="J50" s="1">
        <v>2</v>
      </c>
    </row>
    <row r="51" spans="8:10">
      <c r="H51" s="1">
        <v>1906</v>
      </c>
      <c r="I51" s="1" t="s">
        <v>198</v>
      </c>
      <c r="J51" s="1">
        <v>131</v>
      </c>
    </row>
    <row r="52" spans="8:10">
      <c r="H52" s="1">
        <v>1906</v>
      </c>
      <c r="I52" s="1" t="s">
        <v>200</v>
      </c>
      <c r="J52" s="1">
        <v>51</v>
      </c>
    </row>
    <row r="53" spans="8:10">
      <c r="H53" s="1">
        <v>1906</v>
      </c>
      <c r="I53" s="1" t="s">
        <v>202</v>
      </c>
      <c r="J53" s="1">
        <v>42</v>
      </c>
    </row>
    <row r="54" spans="8:10">
      <c r="H54" s="1">
        <v>1906</v>
      </c>
      <c r="I54" s="1" t="s">
        <v>197</v>
      </c>
      <c r="J54" s="1">
        <v>30</v>
      </c>
    </row>
    <row r="55" spans="8:10">
      <c r="H55" s="1">
        <v>1906</v>
      </c>
      <c r="I55" s="1" t="s">
        <v>199</v>
      </c>
      <c r="J55" s="1">
        <v>30</v>
      </c>
    </row>
    <row r="56" spans="8:10">
      <c r="H56" s="1">
        <v>1906</v>
      </c>
      <c r="I56" s="1" t="s">
        <v>185</v>
      </c>
      <c r="J56" s="1">
        <v>25</v>
      </c>
    </row>
    <row r="57" spans="8:10">
      <c r="H57" s="1">
        <v>1906</v>
      </c>
      <c r="I57" s="1" t="s">
        <v>193</v>
      </c>
      <c r="J57" s="1">
        <v>20</v>
      </c>
    </row>
    <row r="58" spans="8:10">
      <c r="H58" s="1">
        <v>1906</v>
      </c>
      <c r="I58" s="1" t="s">
        <v>179</v>
      </c>
      <c r="J58" s="1">
        <v>19</v>
      </c>
    </row>
    <row r="59" spans="8:10">
      <c r="H59" s="1">
        <v>1906</v>
      </c>
      <c r="I59" s="1" t="s">
        <v>196</v>
      </c>
      <c r="J59" s="1">
        <v>18</v>
      </c>
    </row>
    <row r="60" spans="8:10">
      <c r="H60" s="1">
        <v>1906</v>
      </c>
      <c r="I60" s="1" t="s">
        <v>184</v>
      </c>
      <c r="J60" s="1">
        <v>18</v>
      </c>
    </row>
    <row r="61" spans="8:10">
      <c r="H61" s="1">
        <v>1906</v>
      </c>
      <c r="I61" s="1" t="s">
        <v>201</v>
      </c>
      <c r="J61" s="1">
        <v>17</v>
      </c>
    </row>
    <row r="62" spans="8:10">
      <c r="H62" s="1">
        <v>1906</v>
      </c>
      <c r="I62" s="1" t="s">
        <v>204</v>
      </c>
      <c r="J62" s="1">
        <v>16</v>
      </c>
    </row>
    <row r="63" spans="8:10">
      <c r="H63" s="1">
        <v>1906</v>
      </c>
      <c r="I63" s="1" t="s">
        <v>203</v>
      </c>
      <c r="J63" s="1">
        <v>8</v>
      </c>
    </row>
    <row r="64" spans="8:10">
      <c r="H64" s="1">
        <v>1908</v>
      </c>
      <c r="I64" s="1" t="s">
        <v>198</v>
      </c>
      <c r="J64" s="1">
        <v>374</v>
      </c>
    </row>
    <row r="65" spans="8:10">
      <c r="H65" s="1">
        <v>1908</v>
      </c>
      <c r="I65" s="1" t="s">
        <v>200</v>
      </c>
      <c r="J65" s="1">
        <v>216</v>
      </c>
    </row>
    <row r="66" spans="8:10">
      <c r="H66" s="1">
        <v>1908</v>
      </c>
      <c r="I66" s="1" t="s">
        <v>197</v>
      </c>
      <c r="J66" s="1">
        <v>163</v>
      </c>
    </row>
    <row r="67" spans="8:10">
      <c r="H67" s="1">
        <v>1908</v>
      </c>
      <c r="I67" s="1" t="s">
        <v>202</v>
      </c>
      <c r="J67" s="1">
        <v>100</v>
      </c>
    </row>
    <row r="68" spans="8:10">
      <c r="H68" s="1">
        <v>1908</v>
      </c>
      <c r="I68" s="1" t="s">
        <v>199</v>
      </c>
      <c r="J68" s="1">
        <v>80</v>
      </c>
    </row>
    <row r="69" spans="8:10">
      <c r="H69" s="1">
        <v>1908</v>
      </c>
      <c r="I69" s="1" t="s">
        <v>185</v>
      </c>
      <c r="J69" s="1">
        <v>68</v>
      </c>
    </row>
    <row r="70" spans="8:10">
      <c r="H70" s="1">
        <v>1908</v>
      </c>
      <c r="I70" s="1" t="s">
        <v>204</v>
      </c>
      <c r="J70" s="1">
        <v>65</v>
      </c>
    </row>
    <row r="71" spans="8:10">
      <c r="H71" s="1">
        <v>1908</v>
      </c>
      <c r="I71" s="1" t="s">
        <v>184</v>
      </c>
      <c r="J71" s="1">
        <v>63</v>
      </c>
    </row>
    <row r="72" spans="8:10">
      <c r="H72" s="1">
        <v>1908</v>
      </c>
      <c r="I72" s="1" t="s">
        <v>187</v>
      </c>
      <c r="J72" s="1">
        <v>55</v>
      </c>
    </row>
    <row r="73" spans="8:10">
      <c r="H73" s="1">
        <v>1908</v>
      </c>
      <c r="I73" s="1" t="s">
        <v>196</v>
      </c>
      <c r="J73" s="1">
        <v>51</v>
      </c>
    </row>
    <row r="74" spans="8:10">
      <c r="H74" s="1">
        <v>1908</v>
      </c>
      <c r="I74" s="1" t="s">
        <v>175</v>
      </c>
      <c r="J74" s="1">
        <v>47</v>
      </c>
    </row>
    <row r="75" spans="8:10">
      <c r="H75" s="1">
        <v>1908</v>
      </c>
      <c r="I75" s="1" t="s">
        <v>201</v>
      </c>
      <c r="J75" s="1">
        <v>46</v>
      </c>
    </row>
    <row r="76" spans="8:10">
      <c r="H76" s="1">
        <v>1908</v>
      </c>
      <c r="I76" s="1" t="s">
        <v>190</v>
      </c>
      <c r="J76" s="1">
        <v>38</v>
      </c>
    </row>
    <row r="77" spans="8:10">
      <c r="H77" s="1">
        <v>1908</v>
      </c>
      <c r="I77" s="1" t="s">
        <v>193</v>
      </c>
      <c r="J77" s="1">
        <v>36</v>
      </c>
    </row>
    <row r="78" spans="8:10">
      <c r="H78" s="1">
        <v>1908</v>
      </c>
      <c r="I78" s="1" t="s">
        <v>195</v>
      </c>
      <c r="J78" s="1">
        <v>26</v>
      </c>
    </row>
    <row r="79" spans="8:10">
      <c r="H79" s="1">
        <v>1908</v>
      </c>
      <c r="I79" s="1" t="s">
        <v>179</v>
      </c>
      <c r="J79" s="1">
        <v>25</v>
      </c>
    </row>
    <row r="80" spans="8:10">
      <c r="H80" s="1">
        <v>1908</v>
      </c>
      <c r="I80" s="1" t="s">
        <v>186</v>
      </c>
      <c r="J80" s="1">
        <v>23</v>
      </c>
    </row>
    <row r="81" spans="8:10">
      <c r="H81" s="1">
        <v>1908</v>
      </c>
      <c r="I81" s="1" t="s">
        <v>181</v>
      </c>
      <c r="J81" s="1">
        <v>20</v>
      </c>
    </row>
    <row r="82" spans="8:10">
      <c r="H82" s="1">
        <v>1908</v>
      </c>
      <c r="I82" s="1" t="s">
        <v>182</v>
      </c>
      <c r="J82" s="1">
        <v>19</v>
      </c>
    </row>
    <row r="83" spans="8:10">
      <c r="H83" s="1">
        <v>1908</v>
      </c>
      <c r="I83" s="1" t="s">
        <v>174</v>
      </c>
      <c r="J83" s="1">
        <v>17</v>
      </c>
    </row>
    <row r="84" spans="8:10">
      <c r="H84" s="1">
        <v>1908</v>
      </c>
      <c r="I84" s="1" t="s">
        <v>178</v>
      </c>
      <c r="J84" s="1">
        <v>12</v>
      </c>
    </row>
    <row r="85" spans="8:10">
      <c r="H85" s="1">
        <v>1908</v>
      </c>
      <c r="I85" s="1" t="s">
        <v>176</v>
      </c>
      <c r="J85" s="1">
        <v>11</v>
      </c>
    </row>
    <row r="86" spans="8:10">
      <c r="H86" s="1">
        <v>1908</v>
      </c>
      <c r="I86" s="1" t="s">
        <v>183</v>
      </c>
      <c r="J86" s="1">
        <v>11</v>
      </c>
    </row>
    <row r="87" spans="8:10">
      <c r="H87" s="1">
        <v>1908</v>
      </c>
      <c r="I87" s="1" t="s">
        <v>177</v>
      </c>
      <c r="J87" s="1">
        <v>7</v>
      </c>
    </row>
    <row r="88" spans="8:10">
      <c r="H88" s="1">
        <v>1912</v>
      </c>
      <c r="I88" s="1" t="s">
        <v>198</v>
      </c>
      <c r="J88" s="1">
        <v>523</v>
      </c>
    </row>
    <row r="89" spans="8:10">
      <c r="H89" s="1">
        <v>1912</v>
      </c>
      <c r="I89" s="1" t="s">
        <v>197</v>
      </c>
      <c r="J89" s="1">
        <v>281</v>
      </c>
    </row>
    <row r="90" spans="8:10">
      <c r="H90" s="1">
        <v>1912</v>
      </c>
      <c r="I90" s="1" t="s">
        <v>200</v>
      </c>
      <c r="J90" s="1">
        <v>249</v>
      </c>
    </row>
    <row r="91" spans="8:10">
      <c r="H91" s="1">
        <v>1912</v>
      </c>
      <c r="I91" s="1" t="s">
        <v>185</v>
      </c>
      <c r="J91" s="1">
        <v>183</v>
      </c>
    </row>
    <row r="92" spans="8:10">
      <c r="H92" s="1">
        <v>1912</v>
      </c>
      <c r="I92" s="1" t="s">
        <v>204</v>
      </c>
      <c r="J92" s="1">
        <v>165</v>
      </c>
    </row>
    <row r="93" spans="8:10">
      <c r="H93" s="1">
        <v>1912</v>
      </c>
      <c r="I93" s="1" t="s">
        <v>184</v>
      </c>
      <c r="J93" s="1">
        <v>157</v>
      </c>
    </row>
    <row r="94" spans="8:10">
      <c r="H94" s="1">
        <v>1912</v>
      </c>
      <c r="I94" s="1" t="s">
        <v>202</v>
      </c>
      <c r="J94" s="1">
        <v>144</v>
      </c>
    </row>
    <row r="95" spans="8:10">
      <c r="H95" s="1">
        <v>1912</v>
      </c>
      <c r="I95" s="1" t="s">
        <v>196</v>
      </c>
      <c r="J95" s="1">
        <v>119</v>
      </c>
    </row>
    <row r="96" spans="8:10">
      <c r="H96" s="1">
        <v>1912</v>
      </c>
      <c r="I96" s="1" t="s">
        <v>199</v>
      </c>
      <c r="J96" s="1">
        <v>118</v>
      </c>
    </row>
    <row r="97" spans="8:10">
      <c r="H97" s="1">
        <v>1912</v>
      </c>
      <c r="I97" s="1" t="s">
        <v>187</v>
      </c>
      <c r="J97" s="1">
        <v>98</v>
      </c>
    </row>
    <row r="98" spans="8:10">
      <c r="H98" s="1">
        <v>1912</v>
      </c>
      <c r="I98" s="1" t="s">
        <v>201</v>
      </c>
      <c r="J98" s="1">
        <v>80</v>
      </c>
    </row>
    <row r="99" spans="8:10">
      <c r="H99" s="1">
        <v>1912</v>
      </c>
      <c r="I99" s="1" t="s">
        <v>179</v>
      </c>
      <c r="J99" s="1">
        <v>56</v>
      </c>
    </row>
    <row r="100" spans="8:10">
      <c r="H100" s="1">
        <v>1912</v>
      </c>
      <c r="I100" s="1" t="s">
        <v>194</v>
      </c>
      <c r="J100" s="1">
        <v>56</v>
      </c>
    </row>
    <row r="101" spans="8:10">
      <c r="H101" s="1">
        <v>1912</v>
      </c>
      <c r="I101" s="1" t="s">
        <v>195</v>
      </c>
      <c r="J101" s="1">
        <v>45</v>
      </c>
    </row>
    <row r="102" spans="8:10">
      <c r="H102" s="1">
        <v>1912</v>
      </c>
      <c r="I102" s="1" t="s">
        <v>173</v>
      </c>
      <c r="J102" s="1">
        <v>31</v>
      </c>
    </row>
    <row r="103" spans="8:10">
      <c r="H103" s="1">
        <v>1912</v>
      </c>
      <c r="I103" s="1" t="s">
        <v>172</v>
      </c>
      <c r="J103" s="1">
        <v>25</v>
      </c>
    </row>
    <row r="104" spans="8:10">
      <c r="H104" s="1">
        <v>1912</v>
      </c>
      <c r="I104" s="1" t="s">
        <v>193</v>
      </c>
      <c r="J104" s="1">
        <v>16</v>
      </c>
    </row>
    <row r="105" spans="8:10">
      <c r="H105" s="1">
        <v>1920</v>
      </c>
      <c r="I105" s="1" t="s">
        <v>198</v>
      </c>
      <c r="J105" s="1">
        <v>436</v>
      </c>
    </row>
    <row r="106" spans="8:10">
      <c r="H106" s="1">
        <v>1920</v>
      </c>
      <c r="I106" s="1" t="s">
        <v>200</v>
      </c>
      <c r="J106" s="1">
        <v>196</v>
      </c>
    </row>
    <row r="107" spans="8:10">
      <c r="H107" s="1">
        <v>1920</v>
      </c>
      <c r="I107" s="1" t="s">
        <v>197</v>
      </c>
      <c r="J107" s="1">
        <v>180</v>
      </c>
    </row>
    <row r="108" spans="8:10">
      <c r="H108" s="1">
        <v>1920</v>
      </c>
      <c r="I108" s="1" t="s">
        <v>184</v>
      </c>
      <c r="J108" s="1">
        <v>168</v>
      </c>
    </row>
    <row r="109" spans="8:10">
      <c r="H109" s="1">
        <v>1920</v>
      </c>
      <c r="I109" s="1" t="s">
        <v>202</v>
      </c>
      <c r="J109" s="1">
        <v>126</v>
      </c>
    </row>
    <row r="110" spans="8:10">
      <c r="H110" s="1">
        <v>1920</v>
      </c>
      <c r="I110" s="1" t="s">
        <v>204</v>
      </c>
      <c r="J110" s="1">
        <v>105</v>
      </c>
    </row>
    <row r="111" spans="8:10">
      <c r="H111" s="1">
        <v>1920</v>
      </c>
      <c r="I111" s="1" t="s">
        <v>185</v>
      </c>
      <c r="J111" s="1">
        <v>94</v>
      </c>
    </row>
    <row r="112" spans="8:10">
      <c r="H112" s="1">
        <v>1920</v>
      </c>
      <c r="I112" s="1" t="s">
        <v>187</v>
      </c>
      <c r="J112" s="1">
        <v>93</v>
      </c>
    </row>
    <row r="113" spans="8:10">
      <c r="H113" s="1">
        <v>1920</v>
      </c>
      <c r="I113" s="1" t="s">
        <v>199</v>
      </c>
      <c r="J113" s="1">
        <v>86</v>
      </c>
    </row>
    <row r="114" spans="8:10">
      <c r="H114" s="1">
        <v>1920</v>
      </c>
      <c r="I114" s="1" t="s">
        <v>181</v>
      </c>
      <c r="J114" s="1">
        <v>82</v>
      </c>
    </row>
    <row r="115" spans="8:10">
      <c r="H115" s="1">
        <v>1920</v>
      </c>
      <c r="I115" s="1" t="s">
        <v>194</v>
      </c>
      <c r="J115" s="1">
        <v>75</v>
      </c>
    </row>
    <row r="116" spans="8:10">
      <c r="H116" s="1">
        <v>1920</v>
      </c>
      <c r="I116" s="1" t="s">
        <v>196</v>
      </c>
      <c r="J116" s="1">
        <v>73</v>
      </c>
    </row>
    <row r="117" spans="8:10">
      <c r="H117" s="1">
        <v>1920</v>
      </c>
      <c r="I117" s="1" t="s">
        <v>195</v>
      </c>
      <c r="J117" s="1">
        <v>67</v>
      </c>
    </row>
    <row r="118" spans="8:10">
      <c r="H118" s="1">
        <v>1920</v>
      </c>
      <c r="I118" s="1" t="s">
        <v>201</v>
      </c>
      <c r="J118" s="1">
        <v>57</v>
      </c>
    </row>
    <row r="119" spans="8:10">
      <c r="H119" s="1">
        <v>1920</v>
      </c>
      <c r="I119" s="1" t="s">
        <v>171</v>
      </c>
      <c r="J119" s="1">
        <v>54</v>
      </c>
    </row>
    <row r="120" spans="8:10">
      <c r="H120" s="1">
        <v>1920</v>
      </c>
      <c r="I120" s="1" t="s">
        <v>179</v>
      </c>
      <c r="J120" s="1">
        <v>46</v>
      </c>
    </row>
    <row r="121" spans="8:10">
      <c r="H121" s="1">
        <v>1920</v>
      </c>
      <c r="I121" s="1" t="s">
        <v>203</v>
      </c>
      <c r="J121" s="1">
        <v>33</v>
      </c>
    </row>
    <row r="122" spans="8:10">
      <c r="H122" s="1">
        <v>1920</v>
      </c>
      <c r="I122" s="1" t="s">
        <v>175</v>
      </c>
      <c r="J122" s="1">
        <v>31</v>
      </c>
    </row>
    <row r="123" spans="8:10">
      <c r="H123" s="1">
        <v>1920</v>
      </c>
      <c r="I123" s="1" t="s">
        <v>193</v>
      </c>
      <c r="J123" s="1">
        <v>29</v>
      </c>
    </row>
    <row r="124" spans="8:10">
      <c r="H124" s="1">
        <v>1920</v>
      </c>
      <c r="I124" s="1" t="s">
        <v>186</v>
      </c>
      <c r="J124" s="1">
        <v>26</v>
      </c>
    </row>
    <row r="125" spans="8:10">
      <c r="H125" s="1">
        <v>1920</v>
      </c>
      <c r="I125" s="1" t="s">
        <v>174</v>
      </c>
      <c r="J125" s="1">
        <v>22</v>
      </c>
    </row>
    <row r="126" spans="8:10">
      <c r="H126" s="1">
        <v>1920</v>
      </c>
      <c r="I126" s="1" t="s">
        <v>173</v>
      </c>
      <c r="J126" s="1">
        <v>21</v>
      </c>
    </row>
    <row r="127" spans="8:10">
      <c r="H127" s="1">
        <v>1920</v>
      </c>
      <c r="I127" s="1" t="s">
        <v>190</v>
      </c>
      <c r="J127" s="1">
        <v>19</v>
      </c>
    </row>
    <row r="128" spans="8:10">
      <c r="H128" s="1">
        <v>1920</v>
      </c>
      <c r="I128" s="1" t="s">
        <v>183</v>
      </c>
      <c r="J128" s="1">
        <v>16</v>
      </c>
    </row>
    <row r="129" spans="8:10">
      <c r="H129" s="1">
        <v>1920</v>
      </c>
      <c r="I129" s="1" t="s">
        <v>172</v>
      </c>
      <c r="J129" s="1">
        <v>11</v>
      </c>
    </row>
    <row r="130" spans="8:10">
      <c r="H130" s="1">
        <v>1924</v>
      </c>
      <c r="I130" s="1" t="s">
        <v>198</v>
      </c>
      <c r="J130" s="1">
        <v>575</v>
      </c>
    </row>
    <row r="131" spans="8:10">
      <c r="H131" s="1">
        <v>1924</v>
      </c>
      <c r="I131" s="1" t="s">
        <v>184</v>
      </c>
      <c r="J131" s="1">
        <v>244</v>
      </c>
    </row>
    <row r="132" spans="8:10">
      <c r="H132" s="1">
        <v>1924</v>
      </c>
      <c r="I132" s="1" t="s">
        <v>202</v>
      </c>
      <c r="J132" s="1">
        <v>189</v>
      </c>
    </row>
    <row r="133" spans="8:10">
      <c r="H133" s="1">
        <v>1924</v>
      </c>
      <c r="I133" s="1" t="s">
        <v>197</v>
      </c>
      <c r="J133" s="1">
        <v>180</v>
      </c>
    </row>
    <row r="134" spans="8:10">
      <c r="H134" s="1">
        <v>1924</v>
      </c>
      <c r="I134" s="1" t="s">
        <v>181</v>
      </c>
      <c r="J134" s="1">
        <v>159</v>
      </c>
    </row>
    <row r="135" spans="8:10">
      <c r="H135" s="1">
        <v>1924</v>
      </c>
      <c r="I135" s="1" t="s">
        <v>204</v>
      </c>
      <c r="J135" s="1">
        <v>155</v>
      </c>
    </row>
    <row r="136" spans="8:10">
      <c r="H136" s="1">
        <v>1924</v>
      </c>
      <c r="I136" s="1" t="s">
        <v>172</v>
      </c>
      <c r="J136" s="1">
        <v>139</v>
      </c>
    </row>
    <row r="137" spans="8:10">
      <c r="H137" s="1">
        <v>1924</v>
      </c>
      <c r="I137" s="1" t="s">
        <v>199</v>
      </c>
      <c r="J137" s="1">
        <v>138</v>
      </c>
    </row>
    <row r="138" spans="8:10">
      <c r="H138" s="1">
        <v>1924</v>
      </c>
      <c r="I138" s="1" t="s">
        <v>185</v>
      </c>
      <c r="J138" s="1">
        <v>132</v>
      </c>
    </row>
    <row r="139" spans="8:10">
      <c r="H139" s="1">
        <v>1924</v>
      </c>
      <c r="I139" s="1" t="s">
        <v>201</v>
      </c>
      <c r="J139" s="1">
        <v>101</v>
      </c>
    </row>
    <row r="140" spans="8:10">
      <c r="H140" s="1">
        <v>1924</v>
      </c>
      <c r="I140" s="1" t="s">
        <v>194</v>
      </c>
      <c r="J140" s="1">
        <v>89</v>
      </c>
    </row>
    <row r="141" spans="8:10">
      <c r="H141" s="1">
        <v>1924</v>
      </c>
      <c r="I141" s="1" t="s">
        <v>196</v>
      </c>
      <c r="J141" s="1">
        <v>86</v>
      </c>
    </row>
    <row r="142" spans="8:10">
      <c r="H142" s="1">
        <v>1924</v>
      </c>
      <c r="I142" s="1" t="s">
        <v>171</v>
      </c>
      <c r="J142" s="1">
        <v>78</v>
      </c>
    </row>
    <row r="143" spans="8:10">
      <c r="H143" s="1">
        <v>1924</v>
      </c>
      <c r="I143" s="1" t="s">
        <v>195</v>
      </c>
      <c r="J143" s="1">
        <v>73</v>
      </c>
    </row>
    <row r="144" spans="8:10">
      <c r="H144" s="1">
        <v>1924</v>
      </c>
      <c r="I144" s="1" t="s">
        <v>203</v>
      </c>
      <c r="J144" s="1">
        <v>62</v>
      </c>
    </row>
    <row r="145" spans="8:10">
      <c r="H145" s="1">
        <v>1924</v>
      </c>
      <c r="I145" s="1" t="s">
        <v>200</v>
      </c>
      <c r="J145" s="1">
        <v>56</v>
      </c>
    </row>
    <row r="146" spans="8:10">
      <c r="H146" s="1">
        <v>1924</v>
      </c>
      <c r="I146" s="1" t="s">
        <v>167</v>
      </c>
      <c r="J146" s="1">
        <v>52</v>
      </c>
    </row>
    <row r="147" spans="8:10">
      <c r="H147" s="1">
        <v>1924</v>
      </c>
      <c r="I147" s="1" t="s">
        <v>179</v>
      </c>
      <c r="J147" s="1">
        <v>50</v>
      </c>
    </row>
    <row r="148" spans="8:10">
      <c r="H148" s="1">
        <v>1924</v>
      </c>
      <c r="I148" s="1" t="s">
        <v>187</v>
      </c>
      <c r="J148" s="1">
        <v>50</v>
      </c>
    </row>
    <row r="149" spans="8:10">
      <c r="H149" s="1">
        <v>1924</v>
      </c>
      <c r="I149" s="1" t="s">
        <v>186</v>
      </c>
      <c r="J149" s="1">
        <v>36</v>
      </c>
    </row>
    <row r="150" spans="8:10">
      <c r="H150" s="1">
        <v>1924</v>
      </c>
      <c r="I150" s="1" t="s">
        <v>173</v>
      </c>
      <c r="J150" s="1">
        <v>29</v>
      </c>
    </row>
    <row r="151" spans="8:10">
      <c r="H151" s="1">
        <v>1924</v>
      </c>
      <c r="I151" s="1" t="s">
        <v>166</v>
      </c>
      <c r="J151" s="1">
        <v>29</v>
      </c>
    </row>
    <row r="152" spans="8:10">
      <c r="H152" s="1">
        <v>1924</v>
      </c>
      <c r="I152" s="1" t="s">
        <v>164</v>
      </c>
      <c r="J152" s="1">
        <v>29</v>
      </c>
    </row>
    <row r="153" spans="8:10">
      <c r="H153" s="1">
        <v>1924</v>
      </c>
      <c r="I153" s="1" t="s">
        <v>174</v>
      </c>
      <c r="J153" s="1">
        <v>25</v>
      </c>
    </row>
    <row r="154" spans="8:10">
      <c r="H154" s="1">
        <v>1924</v>
      </c>
      <c r="I154" s="1" t="s">
        <v>170</v>
      </c>
      <c r="J154" s="1">
        <v>24</v>
      </c>
    </row>
    <row r="155" spans="8:10">
      <c r="H155" s="1">
        <v>1924</v>
      </c>
      <c r="I155" s="1" t="s">
        <v>169</v>
      </c>
      <c r="J155" s="1">
        <v>24</v>
      </c>
    </row>
    <row r="156" spans="8:10">
      <c r="H156" s="1">
        <v>1924</v>
      </c>
      <c r="I156" s="1" t="s">
        <v>183</v>
      </c>
      <c r="J156" s="1">
        <v>22</v>
      </c>
    </row>
    <row r="157" spans="8:10">
      <c r="H157" s="1">
        <v>1924</v>
      </c>
      <c r="I157" s="1" t="s">
        <v>168</v>
      </c>
      <c r="J157" s="1">
        <v>19</v>
      </c>
    </row>
    <row r="158" spans="8:10">
      <c r="H158" s="1">
        <v>1924</v>
      </c>
      <c r="I158" s="1" t="s">
        <v>165</v>
      </c>
      <c r="J158" s="1">
        <v>16</v>
      </c>
    </row>
    <row r="159" spans="8:10">
      <c r="H159" s="1">
        <v>1924</v>
      </c>
      <c r="I159" s="1" t="s">
        <v>163</v>
      </c>
      <c r="J159" s="1">
        <v>12</v>
      </c>
    </row>
    <row r="160" spans="8:10">
      <c r="H160" s="1">
        <v>1928</v>
      </c>
      <c r="I160" s="1" t="s">
        <v>198</v>
      </c>
      <c r="J160" s="1">
        <v>624</v>
      </c>
    </row>
    <row r="161" spans="8:10">
      <c r="H161" s="1">
        <v>1928</v>
      </c>
      <c r="I161" s="1" t="s">
        <v>172</v>
      </c>
      <c r="J161" s="1">
        <v>318</v>
      </c>
    </row>
    <row r="162" spans="8:10">
      <c r="H162" s="1">
        <v>1928</v>
      </c>
      <c r="I162" s="1" t="s">
        <v>202</v>
      </c>
      <c r="J162" s="1">
        <v>203</v>
      </c>
    </row>
    <row r="163" spans="8:10">
      <c r="H163" s="1">
        <v>1928</v>
      </c>
      <c r="I163" s="1" t="s">
        <v>184</v>
      </c>
      <c r="J163" s="1">
        <v>191</v>
      </c>
    </row>
    <row r="164" spans="8:10">
      <c r="H164" s="1">
        <v>1928</v>
      </c>
      <c r="I164" s="1" t="s">
        <v>185</v>
      </c>
      <c r="J164" s="1">
        <v>173</v>
      </c>
    </row>
    <row r="165" spans="8:10">
      <c r="H165" s="1">
        <v>1928</v>
      </c>
      <c r="I165" s="1" t="s">
        <v>199</v>
      </c>
      <c r="J165" s="1">
        <v>146</v>
      </c>
    </row>
    <row r="166" spans="8:10">
      <c r="H166" s="1">
        <v>1928</v>
      </c>
      <c r="I166" s="1" t="s">
        <v>204</v>
      </c>
      <c r="J166" s="1">
        <v>116</v>
      </c>
    </row>
    <row r="167" spans="8:10">
      <c r="H167" s="1">
        <v>1928</v>
      </c>
      <c r="I167" s="1" t="s">
        <v>200</v>
      </c>
      <c r="J167" s="1">
        <v>111</v>
      </c>
    </row>
    <row r="168" spans="8:10">
      <c r="H168" s="1">
        <v>1928</v>
      </c>
      <c r="I168" s="1" t="s">
        <v>196</v>
      </c>
      <c r="J168" s="1">
        <v>110</v>
      </c>
    </row>
    <row r="169" spans="8:10">
      <c r="H169" s="1">
        <v>1928</v>
      </c>
      <c r="I169" s="1" t="s">
        <v>181</v>
      </c>
      <c r="J169" s="1">
        <v>108</v>
      </c>
    </row>
    <row r="170" spans="8:10">
      <c r="H170" s="1">
        <v>1928</v>
      </c>
      <c r="I170" s="1" t="s">
        <v>171</v>
      </c>
      <c r="J170" s="1">
        <v>106</v>
      </c>
    </row>
    <row r="171" spans="8:10">
      <c r="H171" s="1">
        <v>1928</v>
      </c>
      <c r="I171" s="1" t="s">
        <v>187</v>
      </c>
      <c r="J171" s="1">
        <v>106</v>
      </c>
    </row>
    <row r="172" spans="8:10">
      <c r="H172" s="1">
        <v>1928</v>
      </c>
      <c r="I172" s="1" t="s">
        <v>194</v>
      </c>
      <c r="J172" s="1">
        <v>104</v>
      </c>
    </row>
    <row r="173" spans="8:10">
      <c r="H173" s="1">
        <v>1928</v>
      </c>
      <c r="I173" s="1" t="s">
        <v>195</v>
      </c>
      <c r="J173" s="1">
        <v>85</v>
      </c>
    </row>
    <row r="174" spans="8:10">
      <c r="H174" s="1">
        <v>1928</v>
      </c>
      <c r="I174" s="1" t="s">
        <v>175</v>
      </c>
      <c r="J174" s="1">
        <v>79</v>
      </c>
    </row>
    <row r="175" spans="8:10">
      <c r="H175" s="1">
        <v>1928</v>
      </c>
      <c r="I175" s="1" t="s">
        <v>170</v>
      </c>
      <c r="J175" s="1">
        <v>75</v>
      </c>
    </row>
    <row r="176" spans="8:10">
      <c r="H176" s="1">
        <v>1928</v>
      </c>
      <c r="I176" s="1" t="s">
        <v>167</v>
      </c>
      <c r="J176" s="1">
        <v>65</v>
      </c>
    </row>
    <row r="177" spans="8:10">
      <c r="H177" s="1">
        <v>1928</v>
      </c>
      <c r="I177" s="1" t="s">
        <v>203</v>
      </c>
      <c r="J177" s="1">
        <v>63</v>
      </c>
    </row>
    <row r="178" spans="8:10">
      <c r="H178" s="1">
        <v>1928</v>
      </c>
      <c r="I178" s="1" t="s">
        <v>179</v>
      </c>
      <c r="J178" s="1">
        <v>46</v>
      </c>
    </row>
    <row r="179" spans="8:10">
      <c r="H179" s="1">
        <v>1928</v>
      </c>
      <c r="I179" s="1" t="s">
        <v>174</v>
      </c>
      <c r="J179" s="1">
        <v>42</v>
      </c>
    </row>
    <row r="180" spans="8:10">
      <c r="H180" s="1">
        <v>1928</v>
      </c>
      <c r="I180" s="1" t="s">
        <v>164</v>
      </c>
      <c r="J180" s="1">
        <v>39</v>
      </c>
    </row>
    <row r="181" spans="8:10">
      <c r="H181" s="1">
        <v>1928</v>
      </c>
      <c r="I181" s="1" t="s">
        <v>169</v>
      </c>
      <c r="J181" s="1">
        <v>33</v>
      </c>
    </row>
    <row r="182" spans="8:10">
      <c r="H182" s="1">
        <v>1928</v>
      </c>
      <c r="I182" s="1" t="s">
        <v>166</v>
      </c>
      <c r="J182" s="1">
        <v>32</v>
      </c>
    </row>
    <row r="183" spans="8:10">
      <c r="H183" s="1">
        <v>1928</v>
      </c>
      <c r="I183" s="1" t="s">
        <v>173</v>
      </c>
      <c r="J183" s="1">
        <v>30</v>
      </c>
    </row>
    <row r="184" spans="8:10">
      <c r="H184" s="1">
        <v>1928</v>
      </c>
      <c r="I184" s="1" t="s">
        <v>162</v>
      </c>
      <c r="J184" s="1">
        <v>8</v>
      </c>
    </row>
    <row r="185" spans="8:10">
      <c r="H185" s="1">
        <v>1932</v>
      </c>
      <c r="I185" s="1" t="s">
        <v>172</v>
      </c>
      <c r="J185" s="1">
        <v>505</v>
      </c>
    </row>
    <row r="186" spans="8:10">
      <c r="H186" s="1">
        <v>1932</v>
      </c>
      <c r="I186" s="1" t="s">
        <v>198</v>
      </c>
      <c r="J186" s="1">
        <v>349</v>
      </c>
    </row>
    <row r="187" spans="8:10">
      <c r="H187" s="1">
        <v>1932</v>
      </c>
      <c r="I187" s="1" t="s">
        <v>185</v>
      </c>
      <c r="J187" s="1">
        <v>130</v>
      </c>
    </row>
    <row r="188" spans="8:10">
      <c r="H188" s="1">
        <v>1932</v>
      </c>
      <c r="I188" s="1" t="s">
        <v>199</v>
      </c>
      <c r="J188" s="1">
        <v>107</v>
      </c>
    </row>
    <row r="189" spans="8:10">
      <c r="H189" s="1">
        <v>1932</v>
      </c>
      <c r="I189" s="1" t="s">
        <v>202</v>
      </c>
      <c r="J189" s="1">
        <v>102</v>
      </c>
    </row>
    <row r="190" spans="8:10">
      <c r="H190" s="1">
        <v>1932</v>
      </c>
      <c r="I190" s="1" t="s">
        <v>181</v>
      </c>
      <c r="J190" s="1">
        <v>70</v>
      </c>
    </row>
    <row r="191" spans="8:10">
      <c r="H191" s="1">
        <v>1932</v>
      </c>
      <c r="I191" s="1" t="s">
        <v>204</v>
      </c>
      <c r="J191" s="1">
        <v>67</v>
      </c>
    </row>
    <row r="192" spans="8:10">
      <c r="H192" s="1">
        <v>1932</v>
      </c>
      <c r="I192" s="1" t="s">
        <v>196</v>
      </c>
      <c r="J192" s="1">
        <v>61</v>
      </c>
    </row>
    <row r="193" spans="8:10">
      <c r="H193" s="1">
        <v>1932</v>
      </c>
      <c r="I193" s="1" t="s">
        <v>167</v>
      </c>
      <c r="J193" s="1">
        <v>51</v>
      </c>
    </row>
    <row r="194" spans="8:10">
      <c r="H194" s="1">
        <v>1932</v>
      </c>
      <c r="I194" s="1" t="s">
        <v>187</v>
      </c>
      <c r="J194" s="1">
        <v>49</v>
      </c>
    </row>
    <row r="195" spans="8:10">
      <c r="H195" s="1">
        <v>1932</v>
      </c>
      <c r="I195" s="1" t="s">
        <v>171</v>
      </c>
      <c r="J195" s="1">
        <v>46</v>
      </c>
    </row>
    <row r="196" spans="8:10">
      <c r="H196" s="1">
        <v>1932</v>
      </c>
      <c r="I196" s="1" t="s">
        <v>200</v>
      </c>
      <c r="J196" s="1">
        <v>42</v>
      </c>
    </row>
    <row r="197" spans="8:10">
      <c r="H197" s="1">
        <v>1932</v>
      </c>
      <c r="I197" s="1" t="s">
        <v>174</v>
      </c>
      <c r="J197" s="1">
        <v>36</v>
      </c>
    </row>
    <row r="198" spans="8:10">
      <c r="H198" s="1">
        <v>1932</v>
      </c>
      <c r="I198" s="1" t="s">
        <v>170</v>
      </c>
      <c r="J198" s="1">
        <v>35</v>
      </c>
    </row>
    <row r="199" spans="8:10">
      <c r="H199" s="1">
        <v>1932</v>
      </c>
      <c r="I199" s="1" t="s">
        <v>195</v>
      </c>
      <c r="J199" s="1">
        <v>32</v>
      </c>
    </row>
    <row r="200" spans="8:10">
      <c r="H200" s="1">
        <v>1932</v>
      </c>
      <c r="I200" s="1" t="s">
        <v>175</v>
      </c>
      <c r="J200" s="1">
        <v>31</v>
      </c>
    </row>
    <row r="201" spans="8:10">
      <c r="H201" s="1">
        <v>1932</v>
      </c>
      <c r="I201" s="1" t="s">
        <v>164</v>
      </c>
      <c r="J201" s="1">
        <v>31</v>
      </c>
    </row>
    <row r="202" spans="8:10">
      <c r="H202" s="1">
        <v>1932</v>
      </c>
      <c r="I202" s="1" t="s">
        <v>197</v>
      </c>
      <c r="J202" s="1">
        <v>30</v>
      </c>
    </row>
    <row r="203" spans="8:10">
      <c r="H203" s="1">
        <v>1932</v>
      </c>
      <c r="I203" s="1" t="s">
        <v>166</v>
      </c>
      <c r="J203" s="1">
        <v>29</v>
      </c>
    </row>
    <row r="204" spans="8:10">
      <c r="H204" s="1">
        <v>1932</v>
      </c>
      <c r="I204" s="1" t="s">
        <v>169</v>
      </c>
      <c r="J204" s="1">
        <v>29</v>
      </c>
    </row>
    <row r="205" spans="8:10">
      <c r="H205" s="1">
        <v>1932</v>
      </c>
      <c r="I205" s="1" t="s">
        <v>194</v>
      </c>
      <c r="J205" s="1">
        <v>27</v>
      </c>
    </row>
    <row r="206" spans="8:10">
      <c r="H206" s="1">
        <v>1932</v>
      </c>
      <c r="I206" s="1" t="s">
        <v>203</v>
      </c>
      <c r="J206" s="1">
        <v>27</v>
      </c>
    </row>
    <row r="207" spans="8:10">
      <c r="H207" s="1">
        <v>1932</v>
      </c>
      <c r="I207" s="1" t="s">
        <v>173</v>
      </c>
      <c r="J207" s="1">
        <v>21</v>
      </c>
    </row>
    <row r="208" spans="8:10">
      <c r="H208" s="1">
        <v>1932</v>
      </c>
      <c r="I208" s="1" t="s">
        <v>179</v>
      </c>
      <c r="J208" s="1">
        <v>20</v>
      </c>
    </row>
    <row r="209" spans="8:10">
      <c r="H209" s="1">
        <v>1932</v>
      </c>
      <c r="I209" s="1" t="s">
        <v>163</v>
      </c>
      <c r="J209" s="1">
        <v>2</v>
      </c>
    </row>
    <row r="210" spans="8:10">
      <c r="H210" s="1">
        <v>1936</v>
      </c>
      <c r="I210" s="1" t="s">
        <v>198</v>
      </c>
      <c r="J210" s="1">
        <v>762</v>
      </c>
    </row>
    <row r="211" spans="8:10">
      <c r="H211" s="1">
        <v>1936</v>
      </c>
      <c r="I211" s="1" t="s">
        <v>172</v>
      </c>
      <c r="J211" s="1">
        <v>430</v>
      </c>
    </row>
    <row r="212" spans="8:10">
      <c r="H212" s="1">
        <v>1936</v>
      </c>
      <c r="I212" s="1" t="s">
        <v>185</v>
      </c>
      <c r="J212" s="1">
        <v>308</v>
      </c>
    </row>
    <row r="213" spans="8:10">
      <c r="H213" s="1">
        <v>1936</v>
      </c>
      <c r="I213" s="1" t="s">
        <v>202</v>
      </c>
      <c r="J213" s="1">
        <v>300</v>
      </c>
    </row>
    <row r="214" spans="8:10">
      <c r="H214" s="1">
        <v>1936</v>
      </c>
      <c r="I214" s="1" t="s">
        <v>199</v>
      </c>
      <c r="J214" s="1">
        <v>231</v>
      </c>
    </row>
    <row r="215" spans="8:10">
      <c r="H215" s="1">
        <v>1936</v>
      </c>
      <c r="I215" s="1" t="s">
        <v>184</v>
      </c>
      <c r="J215" s="1">
        <v>201</v>
      </c>
    </row>
    <row r="216" spans="8:10">
      <c r="H216" s="1">
        <v>1936</v>
      </c>
      <c r="I216" s="1" t="s">
        <v>204</v>
      </c>
      <c r="J216" s="1">
        <v>195</v>
      </c>
    </row>
    <row r="217" spans="8:10">
      <c r="H217" s="1">
        <v>1936</v>
      </c>
      <c r="I217" s="1" t="s">
        <v>159</v>
      </c>
      <c r="J217" s="1">
        <v>193</v>
      </c>
    </row>
    <row r="218" spans="8:10">
      <c r="H218" s="1">
        <v>1936</v>
      </c>
      <c r="I218" s="1" t="s">
        <v>181</v>
      </c>
      <c r="J218" s="1">
        <v>179</v>
      </c>
    </row>
    <row r="219" spans="8:10">
      <c r="H219" s="1">
        <v>1936</v>
      </c>
      <c r="I219" s="1" t="s">
        <v>200</v>
      </c>
      <c r="J219" s="1">
        <v>175</v>
      </c>
    </row>
    <row r="220" spans="8:10">
      <c r="H220" s="1">
        <v>1936</v>
      </c>
      <c r="I220" s="1" t="s">
        <v>196</v>
      </c>
      <c r="J220" s="1">
        <v>174</v>
      </c>
    </row>
    <row r="221" spans="8:10">
      <c r="H221" s="1">
        <v>1936</v>
      </c>
      <c r="I221" s="1" t="s">
        <v>171</v>
      </c>
      <c r="J221" s="1">
        <v>171</v>
      </c>
    </row>
    <row r="222" spans="8:10">
      <c r="H222" s="1">
        <v>1936</v>
      </c>
      <c r="I222" s="1" t="s">
        <v>187</v>
      </c>
      <c r="J222" s="1">
        <v>171</v>
      </c>
    </row>
    <row r="223" spans="8:10">
      <c r="H223" s="1">
        <v>1936</v>
      </c>
      <c r="I223" s="1" t="s">
        <v>175</v>
      </c>
      <c r="J223" s="1">
        <v>158</v>
      </c>
    </row>
    <row r="224" spans="8:10">
      <c r="H224" s="1">
        <v>1936</v>
      </c>
      <c r="I224" s="1" t="s">
        <v>195</v>
      </c>
      <c r="J224" s="1">
        <v>142</v>
      </c>
    </row>
    <row r="225" spans="8:10">
      <c r="H225" s="1">
        <v>1936</v>
      </c>
      <c r="I225" s="1" t="s">
        <v>197</v>
      </c>
      <c r="J225" s="1">
        <v>133</v>
      </c>
    </row>
    <row r="226" spans="8:10">
      <c r="H226" s="1">
        <v>1936</v>
      </c>
      <c r="I226" s="1" t="s">
        <v>194</v>
      </c>
      <c r="J226" s="1">
        <v>127</v>
      </c>
    </row>
    <row r="227" spans="8:10">
      <c r="H227" s="1">
        <v>1936</v>
      </c>
      <c r="I227" s="1" t="s">
        <v>160</v>
      </c>
      <c r="J227" s="1">
        <v>119</v>
      </c>
    </row>
    <row r="228" spans="8:10">
      <c r="H228" s="1">
        <v>1936</v>
      </c>
      <c r="I228" s="1" t="s">
        <v>167</v>
      </c>
      <c r="J228" s="1">
        <v>108</v>
      </c>
    </row>
    <row r="229" spans="8:10">
      <c r="H229" s="1">
        <v>1936</v>
      </c>
      <c r="I229" s="1" t="s">
        <v>161</v>
      </c>
      <c r="J229" s="1">
        <v>105</v>
      </c>
    </row>
    <row r="230" spans="8:10">
      <c r="H230" s="1">
        <v>1936</v>
      </c>
      <c r="I230" s="1" t="s">
        <v>158</v>
      </c>
      <c r="J230" s="1">
        <v>102</v>
      </c>
    </row>
    <row r="231" spans="8:10">
      <c r="H231" s="1">
        <v>1936</v>
      </c>
      <c r="I231" s="1" t="s">
        <v>170</v>
      </c>
      <c r="J231" s="1">
        <v>89</v>
      </c>
    </row>
    <row r="232" spans="8:10">
      <c r="H232" s="1">
        <v>1936</v>
      </c>
      <c r="I232" s="1" t="s">
        <v>174</v>
      </c>
      <c r="J232" s="1">
        <v>83</v>
      </c>
    </row>
    <row r="233" spans="8:10">
      <c r="H233" s="1">
        <v>1936</v>
      </c>
      <c r="I233" s="1" t="s">
        <v>203</v>
      </c>
      <c r="J233" s="1">
        <v>80</v>
      </c>
    </row>
    <row r="234" spans="8:10">
      <c r="H234" s="1">
        <v>1936</v>
      </c>
      <c r="I234" s="1" t="s">
        <v>179</v>
      </c>
      <c r="J234" s="1">
        <v>66</v>
      </c>
    </row>
    <row r="235" spans="8:10">
      <c r="H235" s="1">
        <v>1936</v>
      </c>
      <c r="I235" s="1" t="s">
        <v>166</v>
      </c>
      <c r="J235" s="1">
        <v>50</v>
      </c>
    </row>
    <row r="236" spans="8:10">
      <c r="H236" s="1">
        <v>1936</v>
      </c>
      <c r="I236" s="1" t="s">
        <v>164</v>
      </c>
      <c r="J236" s="1">
        <v>50</v>
      </c>
    </row>
    <row r="237" spans="8:10">
      <c r="H237" s="1">
        <v>1936</v>
      </c>
      <c r="I237" s="1" t="s">
        <v>169</v>
      </c>
      <c r="J237" s="1">
        <v>48</v>
      </c>
    </row>
    <row r="238" spans="8:10">
      <c r="H238" s="1">
        <v>1936</v>
      </c>
      <c r="I238" s="1" t="s">
        <v>173</v>
      </c>
      <c r="J238" s="1">
        <v>41</v>
      </c>
    </row>
    <row r="239" spans="8:10">
      <c r="H239" s="1">
        <v>1936</v>
      </c>
      <c r="I239" s="1" t="s">
        <v>183</v>
      </c>
      <c r="J239" s="1">
        <v>21</v>
      </c>
    </row>
    <row r="240" spans="8:10">
      <c r="H240" s="1">
        <v>1936</v>
      </c>
      <c r="I240" s="1" t="s">
        <v>163</v>
      </c>
      <c r="J240" s="1">
        <v>2</v>
      </c>
    </row>
    <row r="241" spans="8:10">
      <c r="H241" s="1">
        <v>1936</v>
      </c>
      <c r="I241" s="1" t="s">
        <v>157</v>
      </c>
      <c r="J241" s="1">
        <v>1</v>
      </c>
    </row>
    <row r="242" spans="8:10">
      <c r="H242" s="1">
        <v>1948</v>
      </c>
      <c r="I242" s="1" t="s">
        <v>198</v>
      </c>
      <c r="J242" s="1">
        <v>681</v>
      </c>
    </row>
    <row r="243" spans="8:10">
      <c r="H243" s="1">
        <v>1948</v>
      </c>
      <c r="I243" s="1" t="s">
        <v>172</v>
      </c>
      <c r="J243" s="1">
        <v>264</v>
      </c>
    </row>
    <row r="244" spans="8:10">
      <c r="H244" s="1">
        <v>1948</v>
      </c>
      <c r="I244" s="1" t="s">
        <v>202</v>
      </c>
      <c r="J244" s="1">
        <v>253</v>
      </c>
    </row>
    <row r="245" spans="8:10">
      <c r="H245" s="1">
        <v>1948</v>
      </c>
      <c r="I245" s="1" t="s">
        <v>185</v>
      </c>
      <c r="J245" s="1">
        <v>239</v>
      </c>
    </row>
    <row r="246" spans="8:10">
      <c r="H246" s="1">
        <v>1948</v>
      </c>
      <c r="I246" s="1" t="s">
        <v>199</v>
      </c>
      <c r="J246" s="1">
        <v>201</v>
      </c>
    </row>
    <row r="247" spans="8:10">
      <c r="H247" s="1">
        <v>1948</v>
      </c>
      <c r="I247" s="1" t="s">
        <v>159</v>
      </c>
      <c r="J247" s="1">
        <v>181</v>
      </c>
    </row>
    <row r="248" spans="8:10">
      <c r="H248" s="1">
        <v>1948</v>
      </c>
      <c r="I248" s="1" t="s">
        <v>200</v>
      </c>
      <c r="J248" s="1">
        <v>171</v>
      </c>
    </row>
    <row r="249" spans="8:10">
      <c r="H249" s="1">
        <v>1948</v>
      </c>
      <c r="I249" s="1" t="s">
        <v>158</v>
      </c>
      <c r="J249" s="1">
        <v>164</v>
      </c>
    </row>
    <row r="250" spans="8:10">
      <c r="H250" s="1">
        <v>1948</v>
      </c>
      <c r="I250" s="1" t="s">
        <v>187</v>
      </c>
      <c r="J250" s="1">
        <v>160</v>
      </c>
    </row>
    <row r="251" spans="8:10">
      <c r="H251" s="1">
        <v>1948</v>
      </c>
      <c r="I251" s="1" t="s">
        <v>196</v>
      </c>
      <c r="J251" s="1">
        <v>157</v>
      </c>
    </row>
    <row r="252" spans="8:10">
      <c r="H252" s="1">
        <v>1948</v>
      </c>
      <c r="I252" s="1" t="s">
        <v>184</v>
      </c>
      <c r="J252" s="1">
        <v>153</v>
      </c>
    </row>
    <row r="253" spans="8:10">
      <c r="H253" s="1">
        <v>1948</v>
      </c>
      <c r="I253" s="1" t="s">
        <v>181</v>
      </c>
      <c r="J253" s="1">
        <v>151</v>
      </c>
    </row>
    <row r="254" spans="8:10">
      <c r="H254" s="1">
        <v>1948</v>
      </c>
      <c r="I254" s="1" t="s">
        <v>197</v>
      </c>
      <c r="J254" s="1">
        <v>147</v>
      </c>
    </row>
    <row r="255" spans="8:10">
      <c r="H255" s="1">
        <v>1948</v>
      </c>
      <c r="I255" s="1" t="s">
        <v>204</v>
      </c>
      <c r="J255" s="1">
        <v>147</v>
      </c>
    </row>
    <row r="256" spans="8:10">
      <c r="H256" s="1">
        <v>1948</v>
      </c>
      <c r="I256" s="1" t="s">
        <v>175</v>
      </c>
      <c r="J256" s="1">
        <v>137</v>
      </c>
    </row>
    <row r="257" spans="8:10">
      <c r="H257" s="1">
        <v>1948</v>
      </c>
      <c r="I257" s="1" t="s">
        <v>171</v>
      </c>
      <c r="J257" s="1">
        <v>137</v>
      </c>
    </row>
    <row r="258" spans="8:10">
      <c r="H258" s="1">
        <v>1948</v>
      </c>
      <c r="I258" s="1" t="s">
        <v>195</v>
      </c>
      <c r="J258" s="1">
        <v>111</v>
      </c>
    </row>
    <row r="259" spans="8:10">
      <c r="H259" s="1">
        <v>1948</v>
      </c>
      <c r="I259" s="1" t="s">
        <v>167</v>
      </c>
      <c r="J259" s="1">
        <v>106</v>
      </c>
    </row>
    <row r="260" spans="8:10">
      <c r="H260" s="1">
        <v>1948</v>
      </c>
      <c r="I260" s="1" t="s">
        <v>160</v>
      </c>
      <c r="J260" s="1">
        <v>98</v>
      </c>
    </row>
    <row r="261" spans="8:10">
      <c r="H261" s="1">
        <v>1948</v>
      </c>
      <c r="I261" s="1" t="s">
        <v>194</v>
      </c>
      <c r="J261" s="1">
        <v>88</v>
      </c>
    </row>
    <row r="262" spans="8:10">
      <c r="H262" s="1">
        <v>1948</v>
      </c>
      <c r="I262" s="1" t="s">
        <v>203</v>
      </c>
      <c r="J262" s="1">
        <v>85</v>
      </c>
    </row>
    <row r="263" spans="8:10">
      <c r="H263" s="1">
        <v>1948</v>
      </c>
      <c r="I263" s="1" t="s">
        <v>164</v>
      </c>
      <c r="J263" s="1">
        <v>68</v>
      </c>
    </row>
    <row r="264" spans="8:10">
      <c r="H264" s="1">
        <v>1948</v>
      </c>
      <c r="I264" s="1" t="s">
        <v>170</v>
      </c>
      <c r="J264" s="1">
        <v>67</v>
      </c>
    </row>
    <row r="265" spans="8:10">
      <c r="H265" s="1">
        <v>1948</v>
      </c>
      <c r="I265" s="1" t="s">
        <v>174</v>
      </c>
      <c r="J265" s="1">
        <v>62</v>
      </c>
    </row>
    <row r="266" spans="8:10">
      <c r="H266" s="1">
        <v>1948</v>
      </c>
      <c r="I266" s="1" t="s">
        <v>179</v>
      </c>
      <c r="J266" s="1">
        <v>52</v>
      </c>
    </row>
    <row r="267" spans="8:10">
      <c r="H267" s="1">
        <v>1948</v>
      </c>
      <c r="I267" s="1" t="s">
        <v>169</v>
      </c>
      <c r="J267" s="1">
        <v>49</v>
      </c>
    </row>
    <row r="268" spans="8:10">
      <c r="H268" s="1">
        <v>1948</v>
      </c>
      <c r="I268" s="1" t="s">
        <v>166</v>
      </c>
      <c r="J268" s="1">
        <v>39</v>
      </c>
    </row>
    <row r="269" spans="8:10">
      <c r="H269" s="1">
        <v>1948</v>
      </c>
      <c r="I269" s="1" t="s">
        <v>173</v>
      </c>
      <c r="J269" s="1">
        <v>34</v>
      </c>
    </row>
    <row r="270" spans="8:10">
      <c r="H270" s="1">
        <v>1948</v>
      </c>
      <c r="I270" s="1" t="s">
        <v>162</v>
      </c>
      <c r="J270" s="1">
        <v>15</v>
      </c>
    </row>
    <row r="271" spans="8:10">
      <c r="H271" s="1">
        <v>1952</v>
      </c>
      <c r="I271" s="1" t="s">
        <v>198</v>
      </c>
      <c r="J271" s="1">
        <v>942</v>
      </c>
    </row>
    <row r="272" spans="8:10">
      <c r="H272" s="1">
        <v>1952</v>
      </c>
      <c r="I272" s="1" t="s">
        <v>185</v>
      </c>
      <c r="J272" s="1">
        <v>383</v>
      </c>
    </row>
    <row r="273" spans="8:10">
      <c r="H273" s="1">
        <v>1952</v>
      </c>
      <c r="I273" s="1" t="s">
        <v>200</v>
      </c>
      <c r="J273" s="1">
        <v>308</v>
      </c>
    </row>
    <row r="274" spans="8:10">
      <c r="H274" s="1">
        <v>1952</v>
      </c>
      <c r="I274" s="1" t="s">
        <v>199</v>
      </c>
      <c r="J274" s="1">
        <v>302</v>
      </c>
    </row>
    <row r="275" spans="8:10">
      <c r="H275" s="1">
        <v>1952</v>
      </c>
      <c r="I275" s="1" t="s">
        <v>202</v>
      </c>
      <c r="J275" s="1">
        <v>281</v>
      </c>
    </row>
    <row r="276" spans="8:10">
      <c r="H276" s="1">
        <v>1952</v>
      </c>
      <c r="I276" s="1" t="s">
        <v>159</v>
      </c>
      <c r="J276" s="1">
        <v>280</v>
      </c>
    </row>
    <row r="277" spans="8:10">
      <c r="H277" s="1">
        <v>1952</v>
      </c>
      <c r="I277" s="1" t="s">
        <v>184</v>
      </c>
      <c r="J277" s="1">
        <v>274</v>
      </c>
    </row>
    <row r="278" spans="8:10">
      <c r="H278" s="1">
        <v>1952</v>
      </c>
      <c r="I278" s="1" t="s">
        <v>181</v>
      </c>
      <c r="J278" s="1">
        <v>246</v>
      </c>
    </row>
    <row r="279" spans="8:10">
      <c r="H279" s="1">
        <v>1952</v>
      </c>
      <c r="I279" s="1" t="s">
        <v>204</v>
      </c>
      <c r="J279" s="1">
        <v>224</v>
      </c>
    </row>
    <row r="280" spans="8:10">
      <c r="H280" s="1">
        <v>1952</v>
      </c>
      <c r="I280" s="1" t="s">
        <v>187</v>
      </c>
      <c r="J280" s="1">
        <v>214</v>
      </c>
    </row>
    <row r="281" spans="8:10">
      <c r="H281" s="1">
        <v>1952</v>
      </c>
      <c r="I281" s="1" t="s">
        <v>196</v>
      </c>
      <c r="J281" s="1">
        <v>205</v>
      </c>
    </row>
    <row r="282" spans="8:10">
      <c r="H282" s="1">
        <v>1952</v>
      </c>
      <c r="I282" s="1" t="s">
        <v>197</v>
      </c>
      <c r="J282" s="1">
        <v>201</v>
      </c>
    </row>
    <row r="283" spans="8:10">
      <c r="H283" s="1">
        <v>1952</v>
      </c>
      <c r="I283" s="1" t="s">
        <v>195</v>
      </c>
      <c r="J283" s="1">
        <v>182</v>
      </c>
    </row>
    <row r="284" spans="8:10">
      <c r="H284" s="1">
        <v>1952</v>
      </c>
      <c r="I284" s="1" t="s">
        <v>158</v>
      </c>
      <c r="J284" s="1">
        <v>165</v>
      </c>
    </row>
    <row r="285" spans="8:10">
      <c r="H285" s="1">
        <v>1952</v>
      </c>
      <c r="I285" s="1" t="s">
        <v>175</v>
      </c>
      <c r="J285" s="1">
        <v>153</v>
      </c>
    </row>
    <row r="286" spans="8:10">
      <c r="H286" s="1">
        <v>1952</v>
      </c>
      <c r="I286" s="1" t="s">
        <v>160</v>
      </c>
      <c r="J286" s="1">
        <v>152</v>
      </c>
    </row>
    <row r="287" spans="8:10">
      <c r="H287" s="1">
        <v>1952</v>
      </c>
      <c r="I287" s="1" t="s">
        <v>171</v>
      </c>
      <c r="J287" s="1">
        <v>145</v>
      </c>
    </row>
    <row r="288" spans="8:10">
      <c r="H288" s="1">
        <v>1952</v>
      </c>
      <c r="I288" s="1" t="s">
        <v>167</v>
      </c>
      <c r="J288" s="1">
        <v>137</v>
      </c>
    </row>
    <row r="289" spans="8:10">
      <c r="H289" s="1">
        <v>1952</v>
      </c>
      <c r="I289" s="1" t="s">
        <v>203</v>
      </c>
      <c r="J289" s="1">
        <v>135</v>
      </c>
    </row>
    <row r="290" spans="8:10">
      <c r="H290" s="1">
        <v>1952</v>
      </c>
      <c r="I290" s="1" t="s">
        <v>194</v>
      </c>
      <c r="J290" s="1">
        <v>122</v>
      </c>
    </row>
    <row r="291" spans="8:10">
      <c r="H291" s="1">
        <v>1952</v>
      </c>
      <c r="I291" s="1" t="s">
        <v>179</v>
      </c>
      <c r="J291" s="1">
        <v>71</v>
      </c>
    </row>
    <row r="292" spans="8:10">
      <c r="H292" s="1">
        <v>1952</v>
      </c>
      <c r="I292" s="1" t="s">
        <v>170</v>
      </c>
      <c r="J292" s="1">
        <v>68</v>
      </c>
    </row>
    <row r="293" spans="8:10">
      <c r="H293" s="1">
        <v>1952</v>
      </c>
      <c r="I293" s="1" t="s">
        <v>164</v>
      </c>
      <c r="J293" s="1">
        <v>67</v>
      </c>
    </row>
    <row r="294" spans="8:10">
      <c r="H294" s="1">
        <v>1952</v>
      </c>
      <c r="I294" s="1" t="s">
        <v>174</v>
      </c>
      <c r="J294" s="1">
        <v>61</v>
      </c>
    </row>
    <row r="295" spans="8:10">
      <c r="H295" s="1">
        <v>1952</v>
      </c>
      <c r="I295" s="1" t="s">
        <v>173</v>
      </c>
      <c r="J295" s="1">
        <v>50</v>
      </c>
    </row>
    <row r="296" spans="8:10">
      <c r="H296" s="1">
        <v>1952</v>
      </c>
      <c r="I296" s="1" t="s">
        <v>169</v>
      </c>
      <c r="J296" s="1">
        <v>44</v>
      </c>
    </row>
    <row r="297" spans="8:10">
      <c r="H297" s="1">
        <v>1952</v>
      </c>
      <c r="I297" s="1" t="s">
        <v>166</v>
      </c>
      <c r="J297" s="1">
        <v>24</v>
      </c>
    </row>
    <row r="298" spans="8:10">
      <c r="H298" s="1">
        <v>1956</v>
      </c>
      <c r="I298" s="1" t="s">
        <v>198</v>
      </c>
      <c r="J298" s="1">
        <v>668</v>
      </c>
    </row>
    <row r="299" spans="8:10">
      <c r="H299" s="1">
        <v>1956</v>
      </c>
      <c r="I299" s="1" t="s">
        <v>185</v>
      </c>
      <c r="J299" s="1">
        <v>195</v>
      </c>
    </row>
    <row r="300" spans="8:10">
      <c r="H300" s="1">
        <v>1956</v>
      </c>
      <c r="I300" s="1" t="s">
        <v>199</v>
      </c>
      <c r="J300" s="1">
        <v>193</v>
      </c>
    </row>
    <row r="301" spans="8:10">
      <c r="H301" s="1">
        <v>1956</v>
      </c>
      <c r="I301" s="1" t="s">
        <v>158</v>
      </c>
      <c r="J301" s="1">
        <v>172</v>
      </c>
    </row>
    <row r="302" spans="8:10">
      <c r="H302" s="1">
        <v>1956</v>
      </c>
      <c r="I302" s="1" t="s">
        <v>171</v>
      </c>
      <c r="J302" s="1">
        <v>168</v>
      </c>
    </row>
    <row r="303" spans="8:10">
      <c r="H303" s="1">
        <v>1956</v>
      </c>
      <c r="I303" s="1" t="s">
        <v>202</v>
      </c>
      <c r="J303" s="1">
        <v>152</v>
      </c>
    </row>
    <row r="304" spans="8:10">
      <c r="H304" s="1">
        <v>1956</v>
      </c>
      <c r="I304" s="1" t="s">
        <v>167</v>
      </c>
      <c r="J304" s="1">
        <v>148</v>
      </c>
    </row>
    <row r="305" spans="8:10">
      <c r="H305" s="1">
        <v>1956</v>
      </c>
      <c r="I305" s="1" t="s">
        <v>204</v>
      </c>
      <c r="J305" s="1">
        <v>145</v>
      </c>
    </row>
    <row r="306" spans="8:10">
      <c r="H306" s="1">
        <v>1956</v>
      </c>
      <c r="I306" s="1" t="s">
        <v>181</v>
      </c>
      <c r="J306" s="1">
        <v>137</v>
      </c>
    </row>
    <row r="307" spans="8:10">
      <c r="H307" s="1">
        <v>1956</v>
      </c>
      <c r="I307" s="1" t="s">
        <v>194</v>
      </c>
      <c r="J307" s="1">
        <v>137</v>
      </c>
    </row>
    <row r="308" spans="8:10">
      <c r="H308" s="1">
        <v>1956</v>
      </c>
      <c r="I308" s="1" t="s">
        <v>175</v>
      </c>
      <c r="J308" s="1">
        <v>136</v>
      </c>
    </row>
    <row r="309" spans="8:10">
      <c r="H309" s="1">
        <v>1956</v>
      </c>
      <c r="I309" s="1" t="s">
        <v>196</v>
      </c>
      <c r="J309" s="1">
        <v>131</v>
      </c>
    </row>
    <row r="310" spans="8:10">
      <c r="H310" s="1">
        <v>1956</v>
      </c>
      <c r="I310" s="1" t="s">
        <v>187</v>
      </c>
      <c r="J310" s="1">
        <v>126</v>
      </c>
    </row>
    <row r="311" spans="8:10">
      <c r="H311" s="1">
        <v>1956</v>
      </c>
      <c r="I311" s="1" t="s">
        <v>197</v>
      </c>
      <c r="J311" s="1">
        <v>125</v>
      </c>
    </row>
    <row r="312" spans="8:10">
      <c r="H312" s="1">
        <v>1956</v>
      </c>
      <c r="I312" s="1" t="s">
        <v>200</v>
      </c>
      <c r="J312" s="1">
        <v>120</v>
      </c>
    </row>
    <row r="313" spans="8:10">
      <c r="H313" s="1">
        <v>1956</v>
      </c>
      <c r="I313" s="1" t="s">
        <v>159</v>
      </c>
      <c r="J313" s="1">
        <v>113</v>
      </c>
    </row>
    <row r="314" spans="8:10">
      <c r="H314" s="1">
        <v>1956</v>
      </c>
      <c r="I314" s="1" t="s">
        <v>184</v>
      </c>
      <c r="J314" s="1">
        <v>113</v>
      </c>
    </row>
    <row r="315" spans="8:10">
      <c r="H315" s="1">
        <v>1956</v>
      </c>
      <c r="I315" s="1" t="s">
        <v>160</v>
      </c>
      <c r="J315" s="1">
        <v>109</v>
      </c>
    </row>
    <row r="316" spans="8:10">
      <c r="H316" s="1">
        <v>1956</v>
      </c>
      <c r="I316" s="1" t="s">
        <v>170</v>
      </c>
      <c r="J316" s="1">
        <v>99</v>
      </c>
    </row>
    <row r="317" spans="8:10">
      <c r="H317" s="1">
        <v>1956</v>
      </c>
      <c r="I317" s="1" t="s">
        <v>195</v>
      </c>
      <c r="J317" s="1">
        <v>90</v>
      </c>
    </row>
    <row r="318" spans="8:10">
      <c r="H318" s="1">
        <v>1956</v>
      </c>
      <c r="I318" s="1" t="s">
        <v>203</v>
      </c>
      <c r="J318" s="1">
        <v>88</v>
      </c>
    </row>
    <row r="319" spans="8:10">
      <c r="H319" s="1">
        <v>1956</v>
      </c>
      <c r="I319" s="1" t="s">
        <v>164</v>
      </c>
      <c r="J319" s="1">
        <v>81</v>
      </c>
    </row>
    <row r="320" spans="8:10">
      <c r="H320" s="1">
        <v>1956</v>
      </c>
      <c r="I320" s="1" t="s">
        <v>174</v>
      </c>
      <c r="J320" s="1">
        <v>59</v>
      </c>
    </row>
    <row r="321" spans="8:10">
      <c r="H321" s="1">
        <v>1956</v>
      </c>
      <c r="I321" s="1" t="s">
        <v>179</v>
      </c>
      <c r="J321" s="1">
        <v>50</v>
      </c>
    </row>
    <row r="322" spans="8:10">
      <c r="H322" s="1">
        <v>1956</v>
      </c>
      <c r="I322" s="1" t="s">
        <v>169</v>
      </c>
      <c r="J322" s="1">
        <v>50</v>
      </c>
    </row>
    <row r="323" spans="8:10">
      <c r="H323" s="1">
        <v>1956</v>
      </c>
      <c r="I323" s="1" t="s">
        <v>173</v>
      </c>
      <c r="J323" s="1">
        <v>35</v>
      </c>
    </row>
    <row r="324" spans="8:10">
      <c r="H324" s="1">
        <v>1956</v>
      </c>
      <c r="I324" s="1" t="s">
        <v>166</v>
      </c>
      <c r="J324" s="1">
        <v>34</v>
      </c>
    </row>
    <row r="325" spans="8:10">
      <c r="H325" s="1">
        <v>1960</v>
      </c>
      <c r="I325" s="1" t="s">
        <v>198</v>
      </c>
      <c r="J325" s="1">
        <v>989</v>
      </c>
    </row>
    <row r="326" spans="8:10">
      <c r="H326" s="1">
        <v>1960</v>
      </c>
      <c r="I326" s="1" t="s">
        <v>185</v>
      </c>
      <c r="J326" s="1">
        <v>400</v>
      </c>
    </row>
    <row r="327" spans="8:10">
      <c r="H327" s="1">
        <v>1960</v>
      </c>
      <c r="I327" s="1" t="s">
        <v>199</v>
      </c>
      <c r="J327" s="1">
        <v>376</v>
      </c>
    </row>
    <row r="328" spans="8:10">
      <c r="H328" s="1">
        <v>1960</v>
      </c>
      <c r="I328" s="1" t="s">
        <v>202</v>
      </c>
      <c r="J328" s="1">
        <v>343</v>
      </c>
    </row>
    <row r="329" spans="8:10">
      <c r="H329" s="1">
        <v>1960</v>
      </c>
      <c r="I329" s="1" t="s">
        <v>204</v>
      </c>
      <c r="J329" s="1">
        <v>312</v>
      </c>
    </row>
    <row r="330" spans="8:10">
      <c r="H330" s="1">
        <v>1960</v>
      </c>
      <c r="I330" s="1" t="s">
        <v>197</v>
      </c>
      <c r="J330" s="1">
        <v>302</v>
      </c>
    </row>
    <row r="331" spans="8:10">
      <c r="H331" s="1">
        <v>1960</v>
      </c>
      <c r="I331" s="1" t="s">
        <v>196</v>
      </c>
      <c r="J331" s="1">
        <v>290</v>
      </c>
    </row>
    <row r="332" spans="8:10">
      <c r="H332" s="1">
        <v>1960</v>
      </c>
      <c r="I332" s="1" t="s">
        <v>187</v>
      </c>
      <c r="J332" s="1">
        <v>284</v>
      </c>
    </row>
    <row r="333" spans="8:10">
      <c r="H333" s="1">
        <v>1960</v>
      </c>
      <c r="I333" s="1" t="s">
        <v>181</v>
      </c>
      <c r="J333" s="1">
        <v>272</v>
      </c>
    </row>
    <row r="334" spans="8:10">
      <c r="H334" s="1">
        <v>1960</v>
      </c>
      <c r="I334" s="1" t="s">
        <v>200</v>
      </c>
      <c r="J334" s="1">
        <v>240</v>
      </c>
    </row>
    <row r="335" spans="8:10">
      <c r="H335" s="1">
        <v>1960</v>
      </c>
      <c r="I335" s="1" t="s">
        <v>175</v>
      </c>
      <c r="J335" s="1">
        <v>236</v>
      </c>
    </row>
    <row r="336" spans="8:10">
      <c r="H336" s="1">
        <v>1960</v>
      </c>
      <c r="I336" s="1" t="s">
        <v>184</v>
      </c>
      <c r="J336" s="1">
        <v>222</v>
      </c>
    </row>
    <row r="337" spans="8:10">
      <c r="H337" s="1">
        <v>1960</v>
      </c>
      <c r="I337" s="1" t="s">
        <v>159</v>
      </c>
      <c r="J337" s="1">
        <v>191</v>
      </c>
    </row>
    <row r="338" spans="8:10">
      <c r="H338" s="1">
        <v>1960</v>
      </c>
      <c r="I338" s="1" t="s">
        <v>160</v>
      </c>
      <c r="J338" s="1">
        <v>173</v>
      </c>
    </row>
    <row r="339" spans="8:10">
      <c r="H339" s="1">
        <v>1960</v>
      </c>
      <c r="I339" s="1" t="s">
        <v>203</v>
      </c>
      <c r="J339" s="1">
        <v>159</v>
      </c>
    </row>
    <row r="340" spans="8:10">
      <c r="H340" s="1">
        <v>1960</v>
      </c>
      <c r="I340" s="1" t="s">
        <v>194</v>
      </c>
      <c r="J340" s="1">
        <v>158</v>
      </c>
    </row>
    <row r="341" spans="8:10">
      <c r="H341" s="1">
        <v>1960</v>
      </c>
      <c r="I341" s="1" t="s">
        <v>171</v>
      </c>
      <c r="J341" s="1">
        <v>149</v>
      </c>
    </row>
    <row r="342" spans="8:10">
      <c r="H342" s="1">
        <v>1960</v>
      </c>
      <c r="I342" s="1" t="s">
        <v>195</v>
      </c>
      <c r="J342" s="1">
        <v>142</v>
      </c>
    </row>
    <row r="343" spans="8:10">
      <c r="H343" s="1">
        <v>1960</v>
      </c>
      <c r="I343" s="1" t="s">
        <v>158</v>
      </c>
      <c r="J343" s="1">
        <v>130</v>
      </c>
    </row>
    <row r="344" spans="8:10">
      <c r="H344" s="1">
        <v>1960</v>
      </c>
      <c r="I344" s="1" t="s">
        <v>167</v>
      </c>
      <c r="J344" s="1">
        <v>110</v>
      </c>
    </row>
    <row r="345" spans="8:10">
      <c r="H345" s="1">
        <v>1960</v>
      </c>
      <c r="I345" s="1" t="s">
        <v>164</v>
      </c>
      <c r="J345" s="1">
        <v>101</v>
      </c>
    </row>
    <row r="346" spans="8:10">
      <c r="H346" s="1">
        <v>1960</v>
      </c>
      <c r="I346" s="1" t="s">
        <v>179</v>
      </c>
      <c r="J346" s="1">
        <v>72</v>
      </c>
    </row>
    <row r="347" spans="8:10">
      <c r="H347" s="1">
        <v>1960</v>
      </c>
      <c r="I347" s="1" t="s">
        <v>174</v>
      </c>
      <c r="J347" s="1">
        <v>71</v>
      </c>
    </row>
    <row r="348" spans="8:10">
      <c r="H348" s="1">
        <v>1960</v>
      </c>
      <c r="I348" s="1" t="s">
        <v>173</v>
      </c>
      <c r="J348" s="1">
        <v>60</v>
      </c>
    </row>
    <row r="349" spans="8:10">
      <c r="H349" s="1">
        <v>1960</v>
      </c>
      <c r="I349" s="1" t="s">
        <v>169</v>
      </c>
      <c r="J349" s="1">
        <v>45</v>
      </c>
    </row>
    <row r="350" spans="8:10">
      <c r="H350" s="1">
        <v>1960</v>
      </c>
      <c r="I350" s="1" t="s">
        <v>166</v>
      </c>
      <c r="J350" s="1">
        <v>32</v>
      </c>
    </row>
    <row r="351" spans="8:10">
      <c r="H351" s="1">
        <v>1960</v>
      </c>
      <c r="I351" s="1" t="s">
        <v>156</v>
      </c>
      <c r="J351" s="1">
        <v>30</v>
      </c>
    </row>
    <row r="352" spans="8:10">
      <c r="H352" s="1">
        <v>1964</v>
      </c>
      <c r="I352" s="1" t="s">
        <v>198</v>
      </c>
      <c r="J352" s="1">
        <v>999</v>
      </c>
    </row>
    <row r="353" spans="8:10">
      <c r="H353" s="1">
        <v>1964</v>
      </c>
      <c r="I353" s="1" t="s">
        <v>199</v>
      </c>
      <c r="J353" s="1">
        <v>401</v>
      </c>
    </row>
    <row r="354" spans="8:10">
      <c r="H354" s="1">
        <v>1964</v>
      </c>
      <c r="I354" s="1" t="s">
        <v>185</v>
      </c>
      <c r="J354" s="1">
        <v>366</v>
      </c>
    </row>
    <row r="355" spans="8:10">
      <c r="H355" s="1">
        <v>1964</v>
      </c>
      <c r="I355" s="1" t="s">
        <v>196</v>
      </c>
      <c r="J355" s="1">
        <v>295</v>
      </c>
    </row>
    <row r="356" spans="8:10">
      <c r="H356" s="1">
        <v>1964</v>
      </c>
      <c r="I356" s="1" t="s">
        <v>204</v>
      </c>
      <c r="J356" s="1">
        <v>272</v>
      </c>
    </row>
    <row r="357" spans="8:10">
      <c r="H357" s="1">
        <v>1964</v>
      </c>
      <c r="I357" s="1" t="s">
        <v>171</v>
      </c>
      <c r="J357" s="1">
        <v>269</v>
      </c>
    </row>
    <row r="358" spans="8:10">
      <c r="H358" s="1">
        <v>1964</v>
      </c>
      <c r="I358" s="1" t="s">
        <v>181</v>
      </c>
      <c r="J358" s="1">
        <v>264</v>
      </c>
    </row>
    <row r="359" spans="8:10">
      <c r="H359" s="1">
        <v>1964</v>
      </c>
      <c r="I359" s="1" t="s">
        <v>202</v>
      </c>
      <c r="J359" s="1">
        <v>259</v>
      </c>
    </row>
    <row r="360" spans="8:10">
      <c r="H360" s="1">
        <v>1964</v>
      </c>
      <c r="I360" s="1" t="s">
        <v>197</v>
      </c>
      <c r="J360" s="1">
        <v>259</v>
      </c>
    </row>
    <row r="361" spans="8:10">
      <c r="H361" s="1">
        <v>1964</v>
      </c>
      <c r="I361" s="1" t="s">
        <v>175</v>
      </c>
      <c r="J361" s="1">
        <v>224</v>
      </c>
    </row>
    <row r="362" spans="8:10">
      <c r="H362" s="1">
        <v>1964</v>
      </c>
      <c r="I362" s="1" t="s">
        <v>187</v>
      </c>
      <c r="J362" s="1">
        <v>220</v>
      </c>
    </row>
    <row r="363" spans="8:10">
      <c r="H363" s="1">
        <v>1964</v>
      </c>
      <c r="I363" s="1" t="s">
        <v>200</v>
      </c>
      <c r="J363" s="1">
        <v>212</v>
      </c>
    </row>
    <row r="364" spans="8:10">
      <c r="H364" s="1">
        <v>1964</v>
      </c>
      <c r="I364" s="1" t="s">
        <v>184</v>
      </c>
      <c r="J364" s="1">
        <v>204</v>
      </c>
    </row>
    <row r="365" spans="8:10">
      <c r="H365" s="1">
        <v>1964</v>
      </c>
      <c r="I365" s="1" t="s">
        <v>159</v>
      </c>
      <c r="J365" s="1">
        <v>188</v>
      </c>
    </row>
    <row r="366" spans="8:10">
      <c r="H366" s="1">
        <v>1964</v>
      </c>
      <c r="I366" s="1" t="s">
        <v>155</v>
      </c>
      <c r="J366" s="1">
        <v>177</v>
      </c>
    </row>
    <row r="367" spans="8:10">
      <c r="H367" s="1">
        <v>1964</v>
      </c>
      <c r="I367" s="1" t="s">
        <v>158</v>
      </c>
      <c r="J367" s="1">
        <v>168</v>
      </c>
    </row>
    <row r="368" spans="8:10">
      <c r="H368" s="1">
        <v>1964</v>
      </c>
      <c r="I368" s="1" t="s">
        <v>167</v>
      </c>
      <c r="J368" s="1">
        <v>150</v>
      </c>
    </row>
    <row r="369" spans="8:10">
      <c r="H369" s="1">
        <v>1964</v>
      </c>
      <c r="I369" s="1" t="s">
        <v>203</v>
      </c>
      <c r="J369" s="1">
        <v>146</v>
      </c>
    </row>
    <row r="370" spans="8:10">
      <c r="H370" s="1">
        <v>1964</v>
      </c>
      <c r="I370" s="1" t="s">
        <v>160</v>
      </c>
      <c r="J370" s="1">
        <v>144</v>
      </c>
    </row>
    <row r="371" spans="8:10">
      <c r="H371" s="1">
        <v>1964</v>
      </c>
      <c r="I371" s="1" t="s">
        <v>195</v>
      </c>
      <c r="J371" s="1">
        <v>137</v>
      </c>
    </row>
    <row r="372" spans="8:10">
      <c r="H372" s="1">
        <v>1964</v>
      </c>
      <c r="I372" s="1" t="s">
        <v>164</v>
      </c>
      <c r="J372" s="1">
        <v>133</v>
      </c>
    </row>
    <row r="373" spans="8:10">
      <c r="H373" s="1">
        <v>1964</v>
      </c>
      <c r="I373" s="1" t="s">
        <v>194</v>
      </c>
      <c r="J373" s="1">
        <v>116</v>
      </c>
    </row>
    <row r="374" spans="8:10">
      <c r="H374" s="1">
        <v>1964</v>
      </c>
      <c r="I374" s="1" t="s">
        <v>174</v>
      </c>
      <c r="J374" s="1">
        <v>88</v>
      </c>
    </row>
    <row r="375" spans="8:10">
      <c r="H375" s="1">
        <v>1964</v>
      </c>
      <c r="I375" s="1" t="s">
        <v>170</v>
      </c>
      <c r="J375" s="1">
        <v>81</v>
      </c>
    </row>
    <row r="376" spans="8:10">
      <c r="H376" s="1">
        <v>1964</v>
      </c>
      <c r="I376" s="1" t="s">
        <v>179</v>
      </c>
      <c r="J376" s="1">
        <v>80</v>
      </c>
    </row>
    <row r="377" spans="8:10">
      <c r="H377" s="1">
        <v>1964</v>
      </c>
      <c r="I377" s="1" t="s">
        <v>153</v>
      </c>
      <c r="J377" s="1">
        <v>72</v>
      </c>
    </row>
    <row r="378" spans="8:10">
      <c r="H378" s="1">
        <v>1964</v>
      </c>
      <c r="I378" s="1" t="s">
        <v>154</v>
      </c>
      <c r="J378" s="1">
        <v>68</v>
      </c>
    </row>
    <row r="379" spans="8:10">
      <c r="H379" s="1">
        <v>1964</v>
      </c>
      <c r="I379" s="1" t="s">
        <v>169</v>
      </c>
      <c r="J379" s="1">
        <v>57</v>
      </c>
    </row>
    <row r="380" spans="8:10">
      <c r="H380" s="1">
        <v>1964</v>
      </c>
      <c r="I380" s="1" t="s">
        <v>156</v>
      </c>
      <c r="J380" s="1">
        <v>51</v>
      </c>
    </row>
    <row r="381" spans="8:10">
      <c r="H381" s="1">
        <v>1964</v>
      </c>
      <c r="I381" s="1" t="s">
        <v>173</v>
      </c>
      <c r="J381" s="1">
        <v>37</v>
      </c>
    </row>
    <row r="382" spans="8:10">
      <c r="H382" s="1">
        <v>1964</v>
      </c>
      <c r="I382" s="1" t="s">
        <v>166</v>
      </c>
      <c r="J382" s="1">
        <v>31</v>
      </c>
    </row>
    <row r="383" spans="8:10">
      <c r="H383" s="1">
        <v>1968</v>
      </c>
      <c r="I383" s="1" t="s">
        <v>198</v>
      </c>
      <c r="J383" s="1">
        <v>1005</v>
      </c>
    </row>
    <row r="384" spans="8:10">
      <c r="H384" s="1">
        <v>1968</v>
      </c>
      <c r="I384" s="1" t="s">
        <v>199</v>
      </c>
      <c r="J384" s="1">
        <v>465</v>
      </c>
    </row>
    <row r="385" spans="8:10">
      <c r="H385" s="1">
        <v>1968</v>
      </c>
      <c r="I385" s="1" t="s">
        <v>185</v>
      </c>
      <c r="J385" s="1">
        <v>352</v>
      </c>
    </row>
    <row r="386" spans="8:10">
      <c r="H386" s="1">
        <v>1968</v>
      </c>
      <c r="I386" s="1" t="s">
        <v>197</v>
      </c>
      <c r="J386" s="1">
        <v>345</v>
      </c>
    </row>
    <row r="387" spans="8:10">
      <c r="H387" s="1">
        <v>1968</v>
      </c>
      <c r="I387" s="1" t="s">
        <v>196</v>
      </c>
      <c r="J387" s="1">
        <v>325</v>
      </c>
    </row>
    <row r="388" spans="8:10">
      <c r="H388" s="1">
        <v>1968</v>
      </c>
      <c r="I388" s="1" t="s">
        <v>181</v>
      </c>
      <c r="J388" s="1">
        <v>298</v>
      </c>
    </row>
    <row r="389" spans="8:10">
      <c r="H389" s="1">
        <v>1968</v>
      </c>
      <c r="I389" s="1" t="s">
        <v>204</v>
      </c>
      <c r="J389" s="1">
        <v>281</v>
      </c>
    </row>
    <row r="390" spans="8:10">
      <c r="H390" s="1">
        <v>1968</v>
      </c>
      <c r="I390" s="1" t="s">
        <v>202</v>
      </c>
      <c r="J390" s="1">
        <v>273</v>
      </c>
    </row>
    <row r="391" spans="8:10">
      <c r="H391" s="1">
        <v>1968</v>
      </c>
      <c r="I391" s="1" t="s">
        <v>175</v>
      </c>
      <c r="J391" s="1">
        <v>253</v>
      </c>
    </row>
    <row r="392" spans="8:10">
      <c r="H392" s="1">
        <v>1968</v>
      </c>
      <c r="I392" s="1" t="s">
        <v>184</v>
      </c>
      <c r="J392" s="1">
        <v>250</v>
      </c>
    </row>
    <row r="393" spans="8:10">
      <c r="H393" s="1">
        <v>1968</v>
      </c>
      <c r="I393" s="1" t="s">
        <v>171</v>
      </c>
      <c r="J393" s="1">
        <v>248</v>
      </c>
    </row>
    <row r="394" spans="8:10">
      <c r="H394" s="1">
        <v>1968</v>
      </c>
      <c r="I394" s="1" t="s">
        <v>187</v>
      </c>
      <c r="J394" s="1">
        <v>246</v>
      </c>
    </row>
    <row r="395" spans="8:10">
      <c r="H395" s="1">
        <v>1968</v>
      </c>
      <c r="I395" s="1" t="s">
        <v>200</v>
      </c>
      <c r="J395" s="1">
        <v>216</v>
      </c>
    </row>
    <row r="396" spans="8:10">
      <c r="H396" s="1">
        <v>1968</v>
      </c>
      <c r="I396" s="1" t="s">
        <v>155</v>
      </c>
      <c r="J396" s="1">
        <v>203</v>
      </c>
    </row>
    <row r="397" spans="8:10">
      <c r="H397" s="1">
        <v>1968</v>
      </c>
      <c r="I397" s="1" t="s">
        <v>159</v>
      </c>
      <c r="J397" s="1">
        <v>185</v>
      </c>
    </row>
    <row r="398" spans="8:10">
      <c r="H398" s="1">
        <v>1968</v>
      </c>
      <c r="I398" s="1" t="s">
        <v>160</v>
      </c>
      <c r="J398" s="1">
        <v>184</v>
      </c>
    </row>
    <row r="399" spans="8:10">
      <c r="H399" s="1">
        <v>1968</v>
      </c>
      <c r="I399" s="1" t="s">
        <v>158</v>
      </c>
      <c r="J399" s="1">
        <v>182</v>
      </c>
    </row>
    <row r="400" spans="8:10">
      <c r="H400" s="1">
        <v>1968</v>
      </c>
      <c r="I400" s="1" t="s">
        <v>195</v>
      </c>
      <c r="J400" s="1">
        <v>158</v>
      </c>
    </row>
    <row r="401" spans="8:10">
      <c r="H401" s="1">
        <v>1968</v>
      </c>
      <c r="I401" s="1" t="s">
        <v>203</v>
      </c>
      <c r="J401" s="1">
        <v>156</v>
      </c>
    </row>
    <row r="402" spans="8:10">
      <c r="H402" s="1">
        <v>1968</v>
      </c>
      <c r="I402" s="1" t="s">
        <v>167</v>
      </c>
      <c r="J402" s="1">
        <v>144</v>
      </c>
    </row>
    <row r="403" spans="8:10">
      <c r="H403" s="1">
        <v>1968</v>
      </c>
      <c r="I403" s="1" t="s">
        <v>164</v>
      </c>
      <c r="J403" s="1">
        <v>128</v>
      </c>
    </row>
    <row r="404" spans="8:10">
      <c r="H404" s="1">
        <v>1968</v>
      </c>
      <c r="I404" s="1" t="s">
        <v>194</v>
      </c>
      <c r="J404" s="1">
        <v>125</v>
      </c>
    </row>
    <row r="405" spans="8:10">
      <c r="H405" s="1">
        <v>1968</v>
      </c>
      <c r="I405" s="1" t="s">
        <v>174</v>
      </c>
      <c r="J405" s="1">
        <v>95</v>
      </c>
    </row>
    <row r="406" spans="8:10">
      <c r="H406" s="1">
        <v>1968</v>
      </c>
      <c r="I406" s="1" t="s">
        <v>170</v>
      </c>
      <c r="J406" s="1">
        <v>89</v>
      </c>
    </row>
    <row r="407" spans="8:10">
      <c r="H407" s="1">
        <v>1968</v>
      </c>
      <c r="I407" s="1" t="s">
        <v>154</v>
      </c>
      <c r="J407" s="1">
        <v>85</v>
      </c>
    </row>
    <row r="408" spans="8:10">
      <c r="H408" s="1">
        <v>1968</v>
      </c>
      <c r="I408" s="1" t="s">
        <v>179</v>
      </c>
      <c r="J408" s="1">
        <v>81</v>
      </c>
    </row>
    <row r="409" spans="8:10">
      <c r="H409" s="1">
        <v>1968</v>
      </c>
      <c r="I409" s="1" t="s">
        <v>156</v>
      </c>
      <c r="J409" s="1">
        <v>72</v>
      </c>
    </row>
    <row r="410" spans="8:10">
      <c r="H410" s="1">
        <v>1968</v>
      </c>
      <c r="I410" s="1" t="s">
        <v>169</v>
      </c>
      <c r="J410" s="1">
        <v>66</v>
      </c>
    </row>
    <row r="411" spans="8:10">
      <c r="H411" s="1">
        <v>1968</v>
      </c>
      <c r="I411" s="1" t="s">
        <v>173</v>
      </c>
      <c r="J411" s="1">
        <v>48</v>
      </c>
    </row>
    <row r="412" spans="8:10">
      <c r="H412" s="1">
        <v>1968</v>
      </c>
      <c r="I412" s="1" t="s">
        <v>166</v>
      </c>
      <c r="J412" s="1">
        <v>41</v>
      </c>
    </row>
    <row r="413" spans="8:10">
      <c r="H413" s="1">
        <v>1972</v>
      </c>
      <c r="I413" s="1" t="s">
        <v>198</v>
      </c>
      <c r="J413" s="1">
        <v>1305</v>
      </c>
    </row>
    <row r="414" spans="8:10">
      <c r="H414" s="1">
        <v>1972</v>
      </c>
      <c r="I414" s="1" t="s">
        <v>199</v>
      </c>
      <c r="J414" s="1">
        <v>524</v>
      </c>
    </row>
    <row r="415" spans="8:10">
      <c r="H415" s="1">
        <v>1972</v>
      </c>
      <c r="I415" s="1" t="s">
        <v>185</v>
      </c>
      <c r="J415" s="1">
        <v>437</v>
      </c>
    </row>
    <row r="416" spans="8:10">
      <c r="H416" s="1">
        <v>1972</v>
      </c>
      <c r="I416" s="1" t="s">
        <v>197</v>
      </c>
      <c r="J416" s="1">
        <v>396</v>
      </c>
    </row>
    <row r="417" spans="8:10">
      <c r="H417" s="1">
        <v>1972</v>
      </c>
      <c r="I417" s="1" t="s">
        <v>204</v>
      </c>
      <c r="J417" s="1">
        <v>381</v>
      </c>
    </row>
    <row r="418" spans="8:10">
      <c r="H418" s="1">
        <v>1972</v>
      </c>
      <c r="I418" s="1" t="s">
        <v>196</v>
      </c>
      <c r="J418" s="1">
        <v>359</v>
      </c>
    </row>
    <row r="419" spans="8:10">
      <c r="H419" s="1">
        <v>1972</v>
      </c>
      <c r="I419" s="1" t="s">
        <v>181</v>
      </c>
      <c r="J419" s="1">
        <v>339</v>
      </c>
    </row>
    <row r="420" spans="8:10">
      <c r="H420" s="1">
        <v>1972</v>
      </c>
      <c r="I420" s="1" t="s">
        <v>160</v>
      </c>
      <c r="J420" s="1">
        <v>329</v>
      </c>
    </row>
    <row r="421" spans="8:10">
      <c r="H421" s="1">
        <v>1972</v>
      </c>
      <c r="I421" s="1" t="s">
        <v>187</v>
      </c>
      <c r="J421" s="1">
        <v>319</v>
      </c>
    </row>
    <row r="422" spans="8:10">
      <c r="H422" s="1">
        <v>1972</v>
      </c>
      <c r="I422" s="1" t="s">
        <v>202</v>
      </c>
      <c r="J422" s="1">
        <v>299</v>
      </c>
    </row>
    <row r="423" spans="8:10">
      <c r="H423" s="1">
        <v>1972</v>
      </c>
      <c r="I423" s="1" t="s">
        <v>175</v>
      </c>
      <c r="J423" s="1">
        <v>263</v>
      </c>
    </row>
    <row r="424" spans="8:10">
      <c r="H424" s="1">
        <v>1972</v>
      </c>
      <c r="I424" s="1" t="s">
        <v>161</v>
      </c>
      <c r="J424" s="1">
        <v>243</v>
      </c>
    </row>
    <row r="425" spans="8:10">
      <c r="H425" s="1">
        <v>1972</v>
      </c>
      <c r="I425" s="1" t="s">
        <v>184</v>
      </c>
      <c r="J425" s="1">
        <v>235</v>
      </c>
    </row>
    <row r="426" spans="8:10">
      <c r="H426" s="1">
        <v>1972</v>
      </c>
      <c r="I426" s="1" t="s">
        <v>155</v>
      </c>
      <c r="J426" s="1">
        <v>231</v>
      </c>
    </row>
    <row r="427" spans="8:10">
      <c r="H427" s="1">
        <v>1972</v>
      </c>
      <c r="I427" s="1" t="s">
        <v>200</v>
      </c>
      <c r="J427" s="1">
        <v>229</v>
      </c>
    </row>
    <row r="428" spans="8:10">
      <c r="H428" s="1">
        <v>1972</v>
      </c>
      <c r="I428" s="1" t="s">
        <v>171</v>
      </c>
      <c r="J428" s="1">
        <v>207</v>
      </c>
    </row>
    <row r="429" spans="8:10">
      <c r="H429" s="1">
        <v>1972</v>
      </c>
      <c r="I429" s="1" t="s">
        <v>159</v>
      </c>
      <c r="J429" s="1">
        <v>189</v>
      </c>
    </row>
    <row r="430" spans="8:10">
      <c r="H430" s="1">
        <v>1972</v>
      </c>
      <c r="I430" s="1" t="s">
        <v>203</v>
      </c>
      <c r="J430" s="1">
        <v>185</v>
      </c>
    </row>
    <row r="431" spans="8:10">
      <c r="H431" s="1">
        <v>1972</v>
      </c>
      <c r="I431" s="1" t="s">
        <v>194</v>
      </c>
      <c r="J431" s="1">
        <v>179</v>
      </c>
    </row>
    <row r="432" spans="8:10">
      <c r="H432" s="1">
        <v>1972</v>
      </c>
      <c r="I432" s="1" t="s">
        <v>195</v>
      </c>
      <c r="J432" s="1">
        <v>175</v>
      </c>
    </row>
    <row r="433" spans="8:10">
      <c r="H433" s="1">
        <v>1972</v>
      </c>
      <c r="I433" s="1" t="s">
        <v>167</v>
      </c>
      <c r="J433" s="1">
        <v>152</v>
      </c>
    </row>
    <row r="434" spans="8:10">
      <c r="H434" s="1">
        <v>1972</v>
      </c>
      <c r="I434" s="1" t="s">
        <v>153</v>
      </c>
      <c r="J434" s="1">
        <v>148</v>
      </c>
    </row>
    <row r="435" spans="8:10">
      <c r="H435" s="1">
        <v>1972</v>
      </c>
      <c r="I435" s="1" t="s">
        <v>158</v>
      </c>
      <c r="J435" s="1">
        <v>140</v>
      </c>
    </row>
    <row r="436" spans="8:10">
      <c r="H436" s="1">
        <v>1972</v>
      </c>
      <c r="I436" s="1" t="s">
        <v>164</v>
      </c>
      <c r="J436" s="1">
        <v>115</v>
      </c>
    </row>
    <row r="437" spans="8:10">
      <c r="H437" s="1">
        <v>1972</v>
      </c>
      <c r="I437" s="1" t="s">
        <v>190</v>
      </c>
      <c r="J437" s="1">
        <v>95</v>
      </c>
    </row>
    <row r="438" spans="8:10">
      <c r="H438" s="1">
        <v>1972</v>
      </c>
      <c r="I438" s="1" t="s">
        <v>179</v>
      </c>
      <c r="J438" s="1">
        <v>91</v>
      </c>
    </row>
    <row r="439" spans="8:10">
      <c r="H439" s="1">
        <v>1972</v>
      </c>
      <c r="I439" s="1" t="s">
        <v>154</v>
      </c>
      <c r="J439" s="1">
        <v>81</v>
      </c>
    </row>
    <row r="440" spans="8:10">
      <c r="H440" s="1">
        <v>1972</v>
      </c>
      <c r="I440" s="1" t="s">
        <v>170</v>
      </c>
      <c r="J440" s="1">
        <v>77</v>
      </c>
    </row>
    <row r="441" spans="8:10">
      <c r="H441" s="1">
        <v>1972</v>
      </c>
      <c r="I441" s="1" t="s">
        <v>174</v>
      </c>
      <c r="J441" s="1">
        <v>65</v>
      </c>
    </row>
    <row r="442" spans="8:10">
      <c r="H442" s="1">
        <v>1972</v>
      </c>
      <c r="I442" s="1" t="s">
        <v>156</v>
      </c>
      <c r="J442" s="1">
        <v>62</v>
      </c>
    </row>
    <row r="443" spans="8:10">
      <c r="H443" s="1">
        <v>1972</v>
      </c>
      <c r="I443" s="1" t="s">
        <v>169</v>
      </c>
      <c r="J443" s="1">
        <v>62</v>
      </c>
    </row>
    <row r="444" spans="8:10">
      <c r="H444" s="1">
        <v>1972</v>
      </c>
      <c r="I444" s="1" t="s">
        <v>173</v>
      </c>
      <c r="J444" s="1">
        <v>59</v>
      </c>
    </row>
    <row r="445" spans="8:10">
      <c r="H445" s="1">
        <v>1972</v>
      </c>
      <c r="I445" s="1" t="s">
        <v>166</v>
      </c>
      <c r="J445" s="1">
        <v>39</v>
      </c>
    </row>
    <row r="446" spans="8:10">
      <c r="H446" s="1">
        <v>1976</v>
      </c>
      <c r="I446" s="1" t="s">
        <v>198</v>
      </c>
      <c r="J446" s="1">
        <v>996</v>
      </c>
    </row>
    <row r="447" spans="8:10">
      <c r="H447" s="1">
        <v>1976</v>
      </c>
      <c r="I447" s="1" t="s">
        <v>185</v>
      </c>
      <c r="J447" s="1">
        <v>591</v>
      </c>
    </row>
    <row r="448" spans="8:10">
      <c r="H448" s="1">
        <v>1976</v>
      </c>
      <c r="I448" s="1" t="s">
        <v>199</v>
      </c>
      <c r="J448" s="1">
        <v>465</v>
      </c>
    </row>
    <row r="449" spans="8:10">
      <c r="H449" s="1">
        <v>1976</v>
      </c>
      <c r="I449" s="1" t="s">
        <v>197</v>
      </c>
      <c r="J449" s="1">
        <v>343</v>
      </c>
    </row>
    <row r="450" spans="8:10">
      <c r="H450" s="1">
        <v>1976</v>
      </c>
      <c r="I450" s="1" t="s">
        <v>204</v>
      </c>
      <c r="J450" s="1">
        <v>324</v>
      </c>
    </row>
    <row r="451" spans="8:10">
      <c r="H451" s="1">
        <v>1976</v>
      </c>
      <c r="I451" s="1" t="s">
        <v>196</v>
      </c>
      <c r="J451" s="1">
        <v>289</v>
      </c>
    </row>
    <row r="452" spans="8:10">
      <c r="H452" s="1">
        <v>1976</v>
      </c>
      <c r="I452" s="1" t="s">
        <v>202</v>
      </c>
      <c r="J452" s="1">
        <v>279</v>
      </c>
    </row>
    <row r="453" spans="8:10">
      <c r="H453" s="1">
        <v>1976</v>
      </c>
      <c r="I453" s="1" t="s">
        <v>181</v>
      </c>
      <c r="J453" s="1">
        <v>261</v>
      </c>
    </row>
    <row r="454" spans="8:10">
      <c r="H454" s="1">
        <v>1976</v>
      </c>
      <c r="I454" s="1" t="s">
        <v>187</v>
      </c>
      <c r="J454" s="1">
        <v>255</v>
      </c>
    </row>
    <row r="455" spans="8:10">
      <c r="H455" s="1">
        <v>1976</v>
      </c>
      <c r="I455" s="1" t="s">
        <v>160</v>
      </c>
      <c r="J455" s="1">
        <v>245</v>
      </c>
    </row>
    <row r="456" spans="8:10">
      <c r="H456" s="1">
        <v>1976</v>
      </c>
      <c r="I456" s="1" t="s">
        <v>161</v>
      </c>
      <c r="J456" s="1">
        <v>243</v>
      </c>
    </row>
    <row r="457" spans="8:10">
      <c r="H457" s="1">
        <v>1976</v>
      </c>
      <c r="I457" s="1" t="s">
        <v>171</v>
      </c>
      <c r="J457" s="1">
        <v>217</v>
      </c>
    </row>
    <row r="458" spans="8:10">
      <c r="H458" s="1">
        <v>1976</v>
      </c>
      <c r="I458" s="1" t="s">
        <v>155</v>
      </c>
      <c r="J458" s="1">
        <v>216</v>
      </c>
    </row>
    <row r="459" spans="8:10">
      <c r="H459" s="1">
        <v>1976</v>
      </c>
      <c r="I459" s="1" t="s">
        <v>159</v>
      </c>
      <c r="J459" s="1">
        <v>212</v>
      </c>
    </row>
    <row r="460" spans="8:10">
      <c r="H460" s="1">
        <v>1976</v>
      </c>
      <c r="I460" s="1" t="s">
        <v>184</v>
      </c>
      <c r="J460" s="1">
        <v>202</v>
      </c>
    </row>
    <row r="461" spans="8:10">
      <c r="H461" s="1">
        <v>1976</v>
      </c>
      <c r="I461" s="1" t="s">
        <v>158</v>
      </c>
      <c r="J461" s="1">
        <v>178</v>
      </c>
    </row>
    <row r="462" spans="8:10">
      <c r="H462" s="1">
        <v>1976</v>
      </c>
      <c r="I462" s="1" t="s">
        <v>200</v>
      </c>
      <c r="J462" s="1">
        <v>176</v>
      </c>
    </row>
    <row r="463" spans="8:10">
      <c r="H463" s="1">
        <v>1976</v>
      </c>
      <c r="I463" s="1" t="s">
        <v>203</v>
      </c>
      <c r="J463" s="1">
        <v>173</v>
      </c>
    </row>
    <row r="464" spans="8:10">
      <c r="H464" s="1">
        <v>1976</v>
      </c>
      <c r="I464" s="1" t="s">
        <v>175</v>
      </c>
      <c r="J464" s="1">
        <v>172</v>
      </c>
    </row>
    <row r="465" spans="8:10">
      <c r="H465" s="1">
        <v>1976</v>
      </c>
      <c r="I465" s="1" t="s">
        <v>167</v>
      </c>
      <c r="J465" s="1">
        <v>164</v>
      </c>
    </row>
    <row r="466" spans="8:10">
      <c r="H466" s="1">
        <v>1976</v>
      </c>
      <c r="I466" s="1" t="s">
        <v>194</v>
      </c>
      <c r="J466" s="1">
        <v>134</v>
      </c>
    </row>
    <row r="467" spans="8:10">
      <c r="H467" s="1">
        <v>1976</v>
      </c>
      <c r="I467" s="1" t="s">
        <v>153</v>
      </c>
      <c r="J467" s="1">
        <v>133</v>
      </c>
    </row>
    <row r="468" spans="8:10">
      <c r="H468" s="1">
        <v>1976</v>
      </c>
      <c r="I468" s="1" t="s">
        <v>195</v>
      </c>
      <c r="J468" s="1">
        <v>131</v>
      </c>
    </row>
    <row r="469" spans="8:10">
      <c r="H469" s="1">
        <v>1976</v>
      </c>
      <c r="I469" s="1" t="s">
        <v>164</v>
      </c>
      <c r="J469" s="1">
        <v>109</v>
      </c>
    </row>
    <row r="470" spans="8:10">
      <c r="H470" s="1">
        <v>1976</v>
      </c>
      <c r="I470" s="1" t="s">
        <v>174</v>
      </c>
      <c r="J470" s="1">
        <v>104</v>
      </c>
    </row>
    <row r="471" spans="8:10">
      <c r="H471" s="1">
        <v>1976</v>
      </c>
      <c r="I471" s="1" t="s">
        <v>154</v>
      </c>
      <c r="J471" s="1">
        <v>93</v>
      </c>
    </row>
    <row r="472" spans="8:10">
      <c r="H472" s="1">
        <v>1976</v>
      </c>
      <c r="I472" s="1" t="s">
        <v>170</v>
      </c>
      <c r="J472" s="1">
        <v>92</v>
      </c>
    </row>
    <row r="473" spans="8:10">
      <c r="H473" s="1">
        <v>1976</v>
      </c>
      <c r="I473" s="1" t="s">
        <v>179</v>
      </c>
      <c r="J473" s="1">
        <v>79</v>
      </c>
    </row>
    <row r="474" spans="8:10">
      <c r="H474" s="1">
        <v>1976</v>
      </c>
      <c r="I474" s="1" t="s">
        <v>156</v>
      </c>
      <c r="J474" s="1">
        <v>74</v>
      </c>
    </row>
    <row r="475" spans="8:10">
      <c r="H475" s="1">
        <v>1976</v>
      </c>
      <c r="I475" s="1" t="s">
        <v>190</v>
      </c>
      <c r="J475" s="1">
        <v>63</v>
      </c>
    </row>
    <row r="476" spans="8:10">
      <c r="H476" s="1">
        <v>1976</v>
      </c>
      <c r="I476" s="1" t="s">
        <v>169</v>
      </c>
      <c r="J476" s="1">
        <v>62</v>
      </c>
    </row>
    <row r="477" spans="8:10">
      <c r="H477" s="1">
        <v>1976</v>
      </c>
      <c r="I477" s="1" t="s">
        <v>173</v>
      </c>
      <c r="J477" s="1">
        <v>47</v>
      </c>
    </row>
    <row r="478" spans="8:10">
      <c r="H478" s="1">
        <v>1976</v>
      </c>
      <c r="I478" s="1" t="s">
        <v>166</v>
      </c>
      <c r="J478" s="1">
        <v>34</v>
      </c>
    </row>
    <row r="479" spans="8:10">
      <c r="H479" s="1">
        <v>1980</v>
      </c>
      <c r="I479" s="1" t="s">
        <v>198</v>
      </c>
      <c r="J479" s="1">
        <v>924</v>
      </c>
    </row>
    <row r="480" spans="8:10">
      <c r="H480" s="1">
        <v>1980</v>
      </c>
      <c r="I480" s="1" t="s">
        <v>185</v>
      </c>
      <c r="J480" s="1">
        <v>470</v>
      </c>
    </row>
    <row r="481" spans="8:10">
      <c r="H481" s="1">
        <v>1980</v>
      </c>
      <c r="I481" s="1" t="s">
        <v>199</v>
      </c>
      <c r="J481" s="1">
        <v>323</v>
      </c>
    </row>
    <row r="482" spans="8:10">
      <c r="H482" s="1">
        <v>1980</v>
      </c>
      <c r="I482" s="1" t="s">
        <v>204</v>
      </c>
      <c r="J482" s="1">
        <v>255</v>
      </c>
    </row>
    <row r="483" spans="8:10">
      <c r="H483" s="1">
        <v>1980</v>
      </c>
      <c r="I483" s="1" t="s">
        <v>181</v>
      </c>
      <c r="J483" s="1">
        <v>254</v>
      </c>
    </row>
    <row r="484" spans="8:10">
      <c r="H484" s="1">
        <v>1980</v>
      </c>
      <c r="I484" s="1" t="s">
        <v>184</v>
      </c>
      <c r="J484" s="1">
        <v>242</v>
      </c>
    </row>
    <row r="485" spans="8:10">
      <c r="H485" s="1">
        <v>1980</v>
      </c>
      <c r="I485" s="1" t="s">
        <v>171</v>
      </c>
      <c r="J485" s="1">
        <v>239</v>
      </c>
    </row>
    <row r="486" spans="8:10">
      <c r="H486" s="1">
        <v>1980</v>
      </c>
      <c r="I486" s="1" t="s">
        <v>197</v>
      </c>
      <c r="J486" s="1">
        <v>237</v>
      </c>
    </row>
    <row r="487" spans="8:10">
      <c r="H487" s="1">
        <v>1980</v>
      </c>
      <c r="I487" s="1" t="s">
        <v>196</v>
      </c>
      <c r="J487" s="1">
        <v>221</v>
      </c>
    </row>
    <row r="488" spans="8:10">
      <c r="H488" s="1">
        <v>1980</v>
      </c>
      <c r="I488" s="1" t="s">
        <v>161</v>
      </c>
      <c r="J488" s="1">
        <v>217</v>
      </c>
    </row>
    <row r="489" spans="8:10">
      <c r="H489" s="1">
        <v>1980</v>
      </c>
      <c r="I489" s="1" t="s">
        <v>159</v>
      </c>
      <c r="J489" s="1">
        <v>214</v>
      </c>
    </row>
    <row r="490" spans="8:10">
      <c r="H490" s="1">
        <v>1980</v>
      </c>
      <c r="I490" s="1" t="s">
        <v>155</v>
      </c>
      <c r="J490" s="1">
        <v>195</v>
      </c>
    </row>
    <row r="491" spans="8:10">
      <c r="H491" s="1">
        <v>1980</v>
      </c>
      <c r="I491" s="1" t="s">
        <v>202</v>
      </c>
      <c r="J491" s="1">
        <v>186</v>
      </c>
    </row>
    <row r="492" spans="8:10">
      <c r="H492" s="1">
        <v>1980</v>
      </c>
      <c r="I492" s="1" t="s">
        <v>175</v>
      </c>
      <c r="J492" s="1">
        <v>186</v>
      </c>
    </row>
    <row r="493" spans="8:10">
      <c r="H493" s="1">
        <v>1980</v>
      </c>
      <c r="I493" s="1" t="s">
        <v>160</v>
      </c>
      <c r="J493" s="1">
        <v>179</v>
      </c>
    </row>
    <row r="494" spans="8:10">
      <c r="H494" s="1">
        <v>1980</v>
      </c>
      <c r="I494" s="1" t="s">
        <v>158</v>
      </c>
      <c r="J494" s="1">
        <v>174</v>
      </c>
    </row>
    <row r="495" spans="8:10">
      <c r="H495" s="1">
        <v>1980</v>
      </c>
      <c r="I495" s="1" t="s">
        <v>153</v>
      </c>
      <c r="J495" s="1">
        <v>166</v>
      </c>
    </row>
    <row r="496" spans="8:10">
      <c r="H496" s="1">
        <v>1980</v>
      </c>
      <c r="I496" s="1" t="s">
        <v>203</v>
      </c>
      <c r="J496" s="1">
        <v>164</v>
      </c>
    </row>
    <row r="497" spans="8:10">
      <c r="H497" s="1">
        <v>1980</v>
      </c>
      <c r="I497" s="1" t="s">
        <v>187</v>
      </c>
      <c r="J497" s="1">
        <v>156</v>
      </c>
    </row>
    <row r="498" spans="8:10">
      <c r="H498" s="1">
        <v>1980</v>
      </c>
      <c r="I498" s="1" t="s">
        <v>195</v>
      </c>
      <c r="J498" s="1">
        <v>132</v>
      </c>
    </row>
    <row r="499" spans="8:10">
      <c r="H499" s="1">
        <v>1980</v>
      </c>
      <c r="I499" s="1" t="s">
        <v>167</v>
      </c>
      <c r="J499" s="1">
        <v>130</v>
      </c>
    </row>
    <row r="500" spans="8:10">
      <c r="H500" s="1">
        <v>1980</v>
      </c>
      <c r="I500" s="1" t="s">
        <v>164</v>
      </c>
      <c r="J500" s="1">
        <v>128</v>
      </c>
    </row>
    <row r="501" spans="8:10">
      <c r="H501" s="1">
        <v>1980</v>
      </c>
      <c r="I501" s="1" t="s">
        <v>200</v>
      </c>
      <c r="J501" s="1">
        <v>127</v>
      </c>
    </row>
    <row r="502" spans="8:10">
      <c r="H502" s="1">
        <v>1980</v>
      </c>
      <c r="I502" s="1" t="s">
        <v>174</v>
      </c>
      <c r="J502" s="1">
        <v>84</v>
      </c>
    </row>
    <row r="503" spans="8:10">
      <c r="H503" s="1">
        <v>1980</v>
      </c>
      <c r="I503" s="1" t="s">
        <v>154</v>
      </c>
      <c r="J503" s="1">
        <v>79</v>
      </c>
    </row>
    <row r="504" spans="8:10">
      <c r="H504" s="1">
        <v>1980</v>
      </c>
      <c r="I504" s="1" t="s">
        <v>170</v>
      </c>
      <c r="J504" s="1">
        <v>78</v>
      </c>
    </row>
    <row r="505" spans="8:10">
      <c r="H505" s="1">
        <v>1980</v>
      </c>
      <c r="I505" s="1" t="s">
        <v>156</v>
      </c>
      <c r="J505" s="1">
        <v>73</v>
      </c>
    </row>
    <row r="506" spans="8:10">
      <c r="H506" s="1">
        <v>1980</v>
      </c>
      <c r="I506" s="1" t="s">
        <v>194</v>
      </c>
      <c r="J506" s="1">
        <v>68</v>
      </c>
    </row>
    <row r="507" spans="8:10">
      <c r="H507" s="1">
        <v>1980</v>
      </c>
      <c r="I507" s="1" t="s">
        <v>190</v>
      </c>
      <c r="J507" s="1">
        <v>67</v>
      </c>
    </row>
    <row r="508" spans="8:10">
      <c r="H508" s="1">
        <v>1980</v>
      </c>
      <c r="I508" s="1" t="s">
        <v>179</v>
      </c>
      <c r="J508" s="1">
        <v>66</v>
      </c>
    </row>
    <row r="509" spans="8:10">
      <c r="H509" s="1">
        <v>1980</v>
      </c>
      <c r="I509" s="1" t="s">
        <v>169</v>
      </c>
      <c r="J509" s="1">
        <v>55</v>
      </c>
    </row>
    <row r="510" spans="8:10">
      <c r="H510" s="1">
        <v>1980</v>
      </c>
      <c r="I510" s="1" t="s">
        <v>173</v>
      </c>
      <c r="J510" s="1">
        <v>43</v>
      </c>
    </row>
    <row r="511" spans="8:10">
      <c r="H511" s="1">
        <v>1980</v>
      </c>
      <c r="I511" s="1" t="s">
        <v>166</v>
      </c>
      <c r="J511" s="1">
        <v>31</v>
      </c>
    </row>
    <row r="512" spans="8:10">
      <c r="H512" s="1">
        <v>1984</v>
      </c>
      <c r="I512" s="1" t="s">
        <v>198</v>
      </c>
      <c r="J512" s="1">
        <v>1240</v>
      </c>
    </row>
    <row r="513" spans="8:10">
      <c r="H513" s="1">
        <v>1984</v>
      </c>
      <c r="I513" s="1" t="s">
        <v>199</v>
      </c>
      <c r="J513" s="1">
        <v>479</v>
      </c>
    </row>
    <row r="514" spans="8:10">
      <c r="H514" s="1">
        <v>1984</v>
      </c>
      <c r="I514" s="1" t="s">
        <v>185</v>
      </c>
      <c r="J514" s="1">
        <v>446</v>
      </c>
    </row>
    <row r="515" spans="8:10">
      <c r="H515" s="1">
        <v>1984</v>
      </c>
      <c r="I515" s="1" t="s">
        <v>197</v>
      </c>
      <c r="J515" s="1">
        <v>439</v>
      </c>
    </row>
    <row r="516" spans="8:10">
      <c r="H516" s="1">
        <v>1984</v>
      </c>
      <c r="I516" s="1" t="s">
        <v>196</v>
      </c>
      <c r="J516" s="1">
        <v>348</v>
      </c>
    </row>
    <row r="517" spans="8:10">
      <c r="H517" s="1">
        <v>1984</v>
      </c>
      <c r="I517" s="1" t="s">
        <v>181</v>
      </c>
      <c r="J517" s="1">
        <v>322</v>
      </c>
    </row>
    <row r="518" spans="8:10">
      <c r="H518" s="1">
        <v>1984</v>
      </c>
      <c r="I518" s="1" t="s">
        <v>187</v>
      </c>
      <c r="J518" s="1">
        <v>288</v>
      </c>
    </row>
    <row r="519" spans="8:10">
      <c r="H519" s="1">
        <v>1984</v>
      </c>
      <c r="I519" s="1" t="s">
        <v>175</v>
      </c>
      <c r="J519" s="1">
        <v>286</v>
      </c>
    </row>
    <row r="520" spans="8:10">
      <c r="H520" s="1">
        <v>1984</v>
      </c>
      <c r="I520" s="1" t="s">
        <v>204</v>
      </c>
      <c r="J520" s="1">
        <v>258</v>
      </c>
    </row>
    <row r="521" spans="8:10">
      <c r="H521" s="1">
        <v>1984</v>
      </c>
      <c r="I521" s="1" t="s">
        <v>202</v>
      </c>
      <c r="J521" s="1">
        <v>257</v>
      </c>
    </row>
    <row r="522" spans="8:10">
      <c r="H522" s="1">
        <v>1984</v>
      </c>
      <c r="I522" s="1" t="s">
        <v>161</v>
      </c>
      <c r="J522" s="1">
        <v>257</v>
      </c>
    </row>
    <row r="523" spans="8:10">
      <c r="H523" s="1">
        <v>1984</v>
      </c>
      <c r="I523" s="1" t="s">
        <v>171</v>
      </c>
      <c r="J523" s="1">
        <v>239</v>
      </c>
    </row>
    <row r="524" spans="8:10">
      <c r="H524" s="1">
        <v>1984</v>
      </c>
      <c r="I524" s="1" t="s">
        <v>184</v>
      </c>
      <c r="J524" s="1">
        <v>225</v>
      </c>
    </row>
    <row r="525" spans="8:10">
      <c r="H525" s="1">
        <v>1984</v>
      </c>
      <c r="I525" s="1" t="s">
        <v>158</v>
      </c>
      <c r="J525" s="1">
        <v>218</v>
      </c>
    </row>
    <row r="526" spans="8:10">
      <c r="H526" s="1">
        <v>1984</v>
      </c>
      <c r="I526" s="1" t="s">
        <v>159</v>
      </c>
      <c r="J526" s="1">
        <v>213</v>
      </c>
    </row>
    <row r="527" spans="8:10">
      <c r="H527" s="1">
        <v>1984</v>
      </c>
      <c r="I527" s="1" t="s">
        <v>155</v>
      </c>
      <c r="J527" s="1">
        <v>208</v>
      </c>
    </row>
    <row r="528" spans="8:10">
      <c r="H528" s="1">
        <v>1984</v>
      </c>
      <c r="I528" s="1" t="s">
        <v>153</v>
      </c>
      <c r="J528" s="1">
        <v>203</v>
      </c>
    </row>
    <row r="529" spans="8:10">
      <c r="H529" s="1">
        <v>1984</v>
      </c>
      <c r="I529" s="1" t="s">
        <v>160</v>
      </c>
      <c r="J529" s="1">
        <v>191</v>
      </c>
    </row>
    <row r="530" spans="8:10">
      <c r="H530" s="1">
        <v>1984</v>
      </c>
      <c r="I530" s="1" t="s">
        <v>203</v>
      </c>
      <c r="J530" s="1">
        <v>181</v>
      </c>
    </row>
    <row r="531" spans="8:10">
      <c r="H531" s="1">
        <v>1984</v>
      </c>
      <c r="I531" s="1" t="s">
        <v>167</v>
      </c>
      <c r="J531" s="1">
        <v>179</v>
      </c>
    </row>
    <row r="532" spans="8:10">
      <c r="H532" s="1">
        <v>1984</v>
      </c>
      <c r="I532" s="1" t="s">
        <v>194</v>
      </c>
      <c r="J532" s="1">
        <v>156</v>
      </c>
    </row>
    <row r="533" spans="8:10">
      <c r="H533" s="1">
        <v>1984</v>
      </c>
      <c r="I533" s="1" t="s">
        <v>195</v>
      </c>
      <c r="J533" s="1">
        <v>153</v>
      </c>
    </row>
    <row r="534" spans="8:10">
      <c r="H534" s="1">
        <v>1984</v>
      </c>
      <c r="I534" s="1" t="s">
        <v>164</v>
      </c>
      <c r="J534" s="1">
        <v>138</v>
      </c>
    </row>
    <row r="535" spans="8:10">
      <c r="H535" s="1">
        <v>1984</v>
      </c>
      <c r="I535" s="1" t="s">
        <v>200</v>
      </c>
      <c r="J535" s="1">
        <v>136</v>
      </c>
    </row>
    <row r="536" spans="8:10">
      <c r="H536" s="1">
        <v>1984</v>
      </c>
      <c r="I536" s="1" t="s">
        <v>174</v>
      </c>
      <c r="J536" s="1">
        <v>114</v>
      </c>
    </row>
    <row r="537" spans="8:10">
      <c r="H537" s="1">
        <v>1984</v>
      </c>
      <c r="I537" s="1" t="s">
        <v>170</v>
      </c>
      <c r="J537" s="1">
        <v>111</v>
      </c>
    </row>
    <row r="538" spans="8:10">
      <c r="H538" s="1">
        <v>1984</v>
      </c>
      <c r="I538" s="1" t="s">
        <v>190</v>
      </c>
      <c r="J538" s="1">
        <v>109</v>
      </c>
    </row>
    <row r="539" spans="8:10">
      <c r="H539" s="1">
        <v>1984</v>
      </c>
      <c r="I539" s="1" t="s">
        <v>156</v>
      </c>
      <c r="J539" s="1">
        <v>94</v>
      </c>
    </row>
    <row r="540" spans="8:10">
      <c r="H540" s="1">
        <v>1984</v>
      </c>
      <c r="I540" s="1" t="s">
        <v>154</v>
      </c>
      <c r="J540" s="1">
        <v>80</v>
      </c>
    </row>
    <row r="541" spans="8:10">
      <c r="H541" s="1">
        <v>1984</v>
      </c>
      <c r="I541" s="1" t="s">
        <v>179</v>
      </c>
      <c r="J541" s="1">
        <v>78</v>
      </c>
    </row>
    <row r="542" spans="8:10">
      <c r="H542" s="1">
        <v>1984</v>
      </c>
      <c r="I542" s="1" t="s">
        <v>169</v>
      </c>
      <c r="J542" s="1">
        <v>65</v>
      </c>
    </row>
    <row r="543" spans="8:10">
      <c r="H543" s="1">
        <v>1984</v>
      </c>
      <c r="I543" s="1" t="s">
        <v>173</v>
      </c>
      <c r="J543" s="1">
        <v>50</v>
      </c>
    </row>
    <row r="544" spans="8:10">
      <c r="H544" s="1">
        <v>1984</v>
      </c>
      <c r="I544" s="1" t="s">
        <v>152</v>
      </c>
      <c r="J544" s="1">
        <v>47</v>
      </c>
    </row>
    <row r="545" spans="8:10">
      <c r="H545" s="1">
        <v>1984</v>
      </c>
      <c r="I545" s="1" t="s">
        <v>151</v>
      </c>
      <c r="J545" s="1">
        <v>33</v>
      </c>
    </row>
    <row r="546" spans="8:10">
      <c r="H546" s="1">
        <v>1984</v>
      </c>
      <c r="I546" s="1" t="s">
        <v>166</v>
      </c>
      <c r="J546" s="1">
        <v>28</v>
      </c>
    </row>
    <row r="547" spans="8:10">
      <c r="H547" s="1">
        <v>1988</v>
      </c>
      <c r="I547" s="1" t="s">
        <v>198</v>
      </c>
      <c r="J547" s="1">
        <v>1587</v>
      </c>
    </row>
    <row r="548" spans="8:10">
      <c r="H548" s="1">
        <v>1988</v>
      </c>
      <c r="I548" s="1" t="s">
        <v>199</v>
      </c>
      <c r="J548" s="1">
        <v>629</v>
      </c>
    </row>
    <row r="549" spans="8:10">
      <c r="H549" s="1">
        <v>1988</v>
      </c>
      <c r="I549" s="1" t="s">
        <v>185</v>
      </c>
      <c r="J549" s="1">
        <v>591</v>
      </c>
    </row>
    <row r="550" spans="8:10">
      <c r="H550" s="1">
        <v>1988</v>
      </c>
      <c r="I550" s="1" t="s">
        <v>196</v>
      </c>
      <c r="J550" s="1">
        <v>414</v>
      </c>
    </row>
    <row r="551" spans="8:10">
      <c r="H551" s="1">
        <v>1988</v>
      </c>
      <c r="I551" s="1" t="s">
        <v>181</v>
      </c>
      <c r="J551" s="1">
        <v>413</v>
      </c>
    </row>
    <row r="552" spans="8:10">
      <c r="H552" s="1">
        <v>1988</v>
      </c>
      <c r="I552" s="1" t="s">
        <v>204</v>
      </c>
      <c r="J552" s="1">
        <v>411</v>
      </c>
    </row>
    <row r="553" spans="8:10">
      <c r="H553" s="1">
        <v>1988</v>
      </c>
      <c r="I553" s="1" t="s">
        <v>197</v>
      </c>
      <c r="J553" s="1">
        <v>392</v>
      </c>
    </row>
    <row r="554" spans="8:10">
      <c r="H554" s="1">
        <v>1988</v>
      </c>
      <c r="I554" s="1" t="s">
        <v>187</v>
      </c>
      <c r="J554" s="1">
        <v>372</v>
      </c>
    </row>
    <row r="555" spans="8:10">
      <c r="H555" s="1">
        <v>1988</v>
      </c>
      <c r="I555" s="1" t="s">
        <v>202</v>
      </c>
      <c r="J555" s="1">
        <v>314</v>
      </c>
    </row>
    <row r="556" spans="8:10">
      <c r="H556" s="1">
        <v>1988</v>
      </c>
      <c r="I556" s="1" t="s">
        <v>175</v>
      </c>
      <c r="J556" s="1">
        <v>314</v>
      </c>
    </row>
    <row r="557" spans="8:10">
      <c r="H557" s="1">
        <v>1988</v>
      </c>
      <c r="I557" s="1" t="s">
        <v>161</v>
      </c>
      <c r="J557" s="1">
        <v>280</v>
      </c>
    </row>
    <row r="558" spans="8:10">
      <c r="H558" s="1">
        <v>1988</v>
      </c>
      <c r="I558" s="1" t="s">
        <v>160</v>
      </c>
      <c r="J558" s="1">
        <v>272</v>
      </c>
    </row>
    <row r="559" spans="8:10">
      <c r="H559" s="1">
        <v>1988</v>
      </c>
      <c r="I559" s="1" t="s">
        <v>184</v>
      </c>
      <c r="J559" s="1">
        <v>270</v>
      </c>
    </row>
    <row r="560" spans="8:10">
      <c r="H560" s="1">
        <v>1988</v>
      </c>
      <c r="I560" s="1" t="s">
        <v>158</v>
      </c>
      <c r="J560" s="1">
        <v>269</v>
      </c>
    </row>
    <row r="561" spans="8:10">
      <c r="H561" s="1">
        <v>1988</v>
      </c>
      <c r="I561" s="1" t="s">
        <v>171</v>
      </c>
      <c r="J561" s="1">
        <v>265</v>
      </c>
    </row>
    <row r="562" spans="8:10">
      <c r="H562" s="1">
        <v>1988</v>
      </c>
      <c r="I562" s="1" t="s">
        <v>155</v>
      </c>
      <c r="J562" s="1">
        <v>239</v>
      </c>
    </row>
    <row r="563" spans="8:10">
      <c r="H563" s="1">
        <v>1988</v>
      </c>
      <c r="I563" s="1" t="s">
        <v>153</v>
      </c>
      <c r="J563" s="1">
        <v>237</v>
      </c>
    </row>
    <row r="564" spans="8:10">
      <c r="H564" s="1">
        <v>1988</v>
      </c>
      <c r="I564" s="1" t="s">
        <v>159</v>
      </c>
      <c r="J564" s="1">
        <v>233</v>
      </c>
    </row>
    <row r="565" spans="8:10">
      <c r="H565" s="1">
        <v>1988</v>
      </c>
      <c r="I565" s="1" t="s">
        <v>203</v>
      </c>
      <c r="J565" s="1">
        <v>222</v>
      </c>
    </row>
    <row r="566" spans="8:10">
      <c r="H566" s="1">
        <v>1988</v>
      </c>
      <c r="I566" s="1" t="s">
        <v>167</v>
      </c>
      <c r="J566" s="1">
        <v>198</v>
      </c>
    </row>
    <row r="567" spans="8:10">
      <c r="H567" s="1">
        <v>1988</v>
      </c>
      <c r="I567" s="1" t="s">
        <v>194</v>
      </c>
      <c r="J567" s="1">
        <v>181</v>
      </c>
    </row>
    <row r="568" spans="8:10">
      <c r="H568" s="1">
        <v>1988</v>
      </c>
      <c r="I568" s="1" t="s">
        <v>200</v>
      </c>
      <c r="J568" s="1">
        <v>179</v>
      </c>
    </row>
    <row r="569" spans="8:10">
      <c r="H569" s="1">
        <v>1988</v>
      </c>
      <c r="I569" s="1" t="s">
        <v>195</v>
      </c>
      <c r="J569" s="1">
        <v>156</v>
      </c>
    </row>
    <row r="570" spans="8:10">
      <c r="H570" s="1">
        <v>1988</v>
      </c>
      <c r="I570" s="1" t="s">
        <v>190</v>
      </c>
      <c r="J570" s="1">
        <v>145</v>
      </c>
    </row>
    <row r="571" spans="8:10">
      <c r="H571" s="1">
        <v>1988</v>
      </c>
      <c r="I571" s="1" t="s">
        <v>164</v>
      </c>
      <c r="J571" s="1">
        <v>141</v>
      </c>
    </row>
    <row r="572" spans="8:10">
      <c r="H572" s="1">
        <v>1988</v>
      </c>
      <c r="I572" s="1" t="s">
        <v>170</v>
      </c>
      <c r="J572" s="1">
        <v>133</v>
      </c>
    </row>
    <row r="573" spans="8:10">
      <c r="H573" s="1">
        <v>1988</v>
      </c>
      <c r="I573" s="1" t="s">
        <v>174</v>
      </c>
      <c r="J573" s="1">
        <v>127</v>
      </c>
    </row>
    <row r="574" spans="8:10">
      <c r="H574" s="1">
        <v>1988</v>
      </c>
      <c r="I574" s="1" t="s">
        <v>150</v>
      </c>
      <c r="J574" s="1">
        <v>127</v>
      </c>
    </row>
    <row r="575" spans="8:10">
      <c r="H575" s="1">
        <v>1988</v>
      </c>
      <c r="I575" s="1" t="s">
        <v>201</v>
      </c>
      <c r="J575" s="1">
        <v>127</v>
      </c>
    </row>
    <row r="576" spans="8:10">
      <c r="H576" s="1">
        <v>1988</v>
      </c>
      <c r="I576" s="1" t="s">
        <v>156</v>
      </c>
      <c r="J576" s="1">
        <v>90</v>
      </c>
    </row>
    <row r="577" spans="8:10">
      <c r="H577" s="1">
        <v>1988</v>
      </c>
      <c r="I577" s="1" t="s">
        <v>154</v>
      </c>
      <c r="J577" s="1">
        <v>90</v>
      </c>
    </row>
    <row r="578" spans="8:10">
      <c r="H578" s="1">
        <v>1988</v>
      </c>
      <c r="I578" s="1" t="s">
        <v>179</v>
      </c>
      <c r="J578" s="1">
        <v>89</v>
      </c>
    </row>
    <row r="579" spans="8:10">
      <c r="H579" s="1">
        <v>1988</v>
      </c>
      <c r="I579" s="1" t="s">
        <v>169</v>
      </c>
      <c r="J579" s="1">
        <v>65</v>
      </c>
    </row>
    <row r="580" spans="8:10">
      <c r="H580" s="1">
        <v>1988</v>
      </c>
      <c r="I580" s="1" t="s">
        <v>173</v>
      </c>
      <c r="J580" s="1">
        <v>63</v>
      </c>
    </row>
    <row r="581" spans="8:10">
      <c r="H581" s="1">
        <v>1988</v>
      </c>
      <c r="I581" s="1" t="s">
        <v>152</v>
      </c>
      <c r="J581" s="1">
        <v>46</v>
      </c>
    </row>
    <row r="582" spans="8:10">
      <c r="H582" s="1">
        <v>1988</v>
      </c>
      <c r="I582" s="1" t="s">
        <v>166</v>
      </c>
      <c r="J582" s="1">
        <v>44</v>
      </c>
    </row>
    <row r="583" spans="8:10">
      <c r="H583" s="1">
        <v>1988</v>
      </c>
      <c r="I583" s="1" t="s">
        <v>151</v>
      </c>
      <c r="J583" s="1">
        <v>39</v>
      </c>
    </row>
    <row r="584" spans="8:10">
      <c r="H584" s="1">
        <v>1992</v>
      </c>
      <c r="I584" s="1" t="s">
        <v>198</v>
      </c>
      <c r="J584" s="1">
        <v>1704</v>
      </c>
    </row>
    <row r="585" spans="8:10">
      <c r="H585" s="1">
        <v>1992</v>
      </c>
      <c r="I585" s="1" t="s">
        <v>199</v>
      </c>
      <c r="J585" s="1">
        <v>638</v>
      </c>
    </row>
    <row r="586" spans="8:10">
      <c r="H586" s="1">
        <v>1992</v>
      </c>
      <c r="I586" s="1" t="s">
        <v>185</v>
      </c>
      <c r="J586" s="1">
        <v>621</v>
      </c>
    </row>
    <row r="587" spans="8:10">
      <c r="H587" s="1">
        <v>1992</v>
      </c>
      <c r="I587" s="1" t="s">
        <v>196</v>
      </c>
      <c r="J587" s="1">
        <v>442</v>
      </c>
    </row>
    <row r="588" spans="8:10">
      <c r="H588" s="1">
        <v>1992</v>
      </c>
      <c r="I588" s="1" t="s">
        <v>160</v>
      </c>
      <c r="J588" s="1">
        <v>437</v>
      </c>
    </row>
    <row r="589" spans="8:10">
      <c r="H589" s="1">
        <v>1992</v>
      </c>
      <c r="I589" s="1" t="s">
        <v>187</v>
      </c>
      <c r="J589" s="1">
        <v>437</v>
      </c>
    </row>
    <row r="590" spans="8:10">
      <c r="H590" s="1">
        <v>1992</v>
      </c>
      <c r="I590" s="1" t="s">
        <v>153</v>
      </c>
      <c r="J590" s="1">
        <v>427</v>
      </c>
    </row>
    <row r="591" spans="8:10">
      <c r="H591" s="1">
        <v>1992</v>
      </c>
      <c r="I591" s="1" t="s">
        <v>197</v>
      </c>
      <c r="J591" s="1">
        <v>405</v>
      </c>
    </row>
    <row r="592" spans="8:10">
      <c r="H592" s="1">
        <v>1992</v>
      </c>
      <c r="I592" s="1" t="s">
        <v>204</v>
      </c>
      <c r="J592" s="1">
        <v>370</v>
      </c>
    </row>
    <row r="593" spans="8:10">
      <c r="H593" s="1">
        <v>1992</v>
      </c>
      <c r="I593" s="1" t="s">
        <v>181</v>
      </c>
      <c r="J593" s="1">
        <v>336</v>
      </c>
    </row>
    <row r="594" spans="8:10">
      <c r="H594" s="1">
        <v>1992</v>
      </c>
      <c r="I594" s="1" t="s">
        <v>158</v>
      </c>
      <c r="J594" s="1">
        <v>320</v>
      </c>
    </row>
    <row r="595" spans="8:10">
      <c r="H595" s="1">
        <v>1992</v>
      </c>
      <c r="I595" s="1" t="s">
        <v>175</v>
      </c>
      <c r="J595" s="1">
        <v>314</v>
      </c>
    </row>
    <row r="596" spans="8:10">
      <c r="H596" s="1">
        <v>1992</v>
      </c>
      <c r="I596" s="1" t="s">
        <v>202</v>
      </c>
      <c r="J596" s="1">
        <v>304</v>
      </c>
    </row>
    <row r="597" spans="8:10">
      <c r="H597" s="1">
        <v>1992</v>
      </c>
      <c r="I597" s="1" t="s">
        <v>161</v>
      </c>
      <c r="J597" s="1">
        <v>292</v>
      </c>
    </row>
    <row r="598" spans="8:10">
      <c r="H598" s="1">
        <v>1992</v>
      </c>
      <c r="I598" s="1" t="s">
        <v>184</v>
      </c>
      <c r="J598" s="1">
        <v>272</v>
      </c>
    </row>
    <row r="599" spans="8:10">
      <c r="H599" s="1">
        <v>1992</v>
      </c>
      <c r="I599" s="1" t="s">
        <v>171</v>
      </c>
      <c r="J599" s="1">
        <v>267</v>
      </c>
    </row>
    <row r="600" spans="8:10">
      <c r="H600" s="1">
        <v>1992</v>
      </c>
      <c r="I600" s="1" t="s">
        <v>203</v>
      </c>
      <c r="J600" s="1">
        <v>244</v>
      </c>
    </row>
    <row r="601" spans="8:10">
      <c r="H601" s="1">
        <v>1992</v>
      </c>
      <c r="I601" s="1" t="s">
        <v>159</v>
      </c>
      <c r="J601" s="1">
        <v>235</v>
      </c>
    </row>
    <row r="602" spans="8:10">
      <c r="H602" s="1">
        <v>1992</v>
      </c>
      <c r="I602" s="1" t="s">
        <v>155</v>
      </c>
      <c r="J602" s="1">
        <v>231</v>
      </c>
    </row>
    <row r="603" spans="8:10">
      <c r="H603" s="1">
        <v>1992</v>
      </c>
      <c r="I603" s="1" t="s">
        <v>167</v>
      </c>
      <c r="J603" s="1">
        <v>223</v>
      </c>
    </row>
    <row r="604" spans="8:10">
      <c r="H604" s="1">
        <v>1992</v>
      </c>
      <c r="I604" s="1" t="s">
        <v>194</v>
      </c>
      <c r="J604" s="1">
        <v>215</v>
      </c>
    </row>
    <row r="605" spans="8:10">
      <c r="H605" s="1">
        <v>1992</v>
      </c>
      <c r="I605" s="1" t="s">
        <v>156</v>
      </c>
      <c r="J605" s="1">
        <v>196</v>
      </c>
    </row>
    <row r="606" spans="8:10">
      <c r="H606" s="1">
        <v>1992</v>
      </c>
      <c r="I606" s="1" t="s">
        <v>200</v>
      </c>
      <c r="J606" s="1">
        <v>185</v>
      </c>
    </row>
    <row r="607" spans="8:10">
      <c r="H607" s="1">
        <v>1992</v>
      </c>
      <c r="I607" s="1" t="s">
        <v>148</v>
      </c>
      <c r="J607" s="1">
        <v>177</v>
      </c>
    </row>
    <row r="608" spans="8:10">
      <c r="H608" s="1">
        <v>1992</v>
      </c>
      <c r="I608" s="1" t="s">
        <v>201</v>
      </c>
      <c r="J608" s="1">
        <v>177</v>
      </c>
    </row>
    <row r="609" spans="8:10">
      <c r="H609" s="1">
        <v>1992</v>
      </c>
      <c r="I609" s="1" t="s">
        <v>170</v>
      </c>
      <c r="J609" s="1">
        <v>158</v>
      </c>
    </row>
    <row r="610" spans="8:10">
      <c r="H610" s="1">
        <v>1992</v>
      </c>
      <c r="I610" s="1" t="s">
        <v>142</v>
      </c>
      <c r="J610" s="1">
        <v>157</v>
      </c>
    </row>
    <row r="611" spans="8:10">
      <c r="H611" s="1">
        <v>1992</v>
      </c>
      <c r="I611" s="1" t="s">
        <v>150</v>
      </c>
      <c r="J611" s="1">
        <v>157</v>
      </c>
    </row>
    <row r="612" spans="8:10">
      <c r="H612" s="1">
        <v>1992</v>
      </c>
      <c r="I612" s="1" t="s">
        <v>164</v>
      </c>
      <c r="J612" s="1">
        <v>154</v>
      </c>
    </row>
    <row r="613" spans="8:10">
      <c r="H613" s="1">
        <v>1992</v>
      </c>
      <c r="I613" s="1" t="s">
        <v>195</v>
      </c>
      <c r="J613" s="1">
        <v>152</v>
      </c>
    </row>
    <row r="614" spans="8:10">
      <c r="H614" s="1">
        <v>1992</v>
      </c>
      <c r="I614" s="1" t="s">
        <v>190</v>
      </c>
      <c r="J614" s="1">
        <v>135</v>
      </c>
    </row>
    <row r="615" spans="8:10">
      <c r="H615" s="1">
        <v>1992</v>
      </c>
      <c r="I615" s="1" t="s">
        <v>174</v>
      </c>
      <c r="J615" s="1">
        <v>133</v>
      </c>
    </row>
    <row r="616" spans="8:10">
      <c r="H616" s="1">
        <v>1992</v>
      </c>
      <c r="I616" s="1" t="s">
        <v>179</v>
      </c>
      <c r="J616" s="1">
        <v>100</v>
      </c>
    </row>
    <row r="617" spans="8:10">
      <c r="H617" s="1">
        <v>1992</v>
      </c>
      <c r="I617" s="1" t="s">
        <v>154</v>
      </c>
      <c r="J617" s="1">
        <v>89</v>
      </c>
    </row>
    <row r="618" spans="8:10">
      <c r="H618" s="1">
        <v>1992</v>
      </c>
      <c r="I618" s="1" t="s">
        <v>146</v>
      </c>
      <c r="J618" s="1">
        <v>85</v>
      </c>
    </row>
    <row r="619" spans="8:10">
      <c r="H619" s="1">
        <v>1992</v>
      </c>
      <c r="I619" s="1" t="s">
        <v>144</v>
      </c>
      <c r="J619" s="1">
        <v>71</v>
      </c>
    </row>
    <row r="620" spans="8:10">
      <c r="H620" s="1">
        <v>1992</v>
      </c>
      <c r="I620" s="1" t="s">
        <v>173</v>
      </c>
      <c r="J620" s="1">
        <v>66</v>
      </c>
    </row>
    <row r="621" spans="8:10">
      <c r="H621" s="1">
        <v>1992</v>
      </c>
      <c r="I621" s="1" t="s">
        <v>169</v>
      </c>
      <c r="J621" s="1">
        <v>63</v>
      </c>
    </row>
    <row r="622" spans="8:10">
      <c r="H622" s="1">
        <v>1992</v>
      </c>
      <c r="I622" s="1" t="s">
        <v>152</v>
      </c>
      <c r="J622" s="1">
        <v>53</v>
      </c>
    </row>
    <row r="623" spans="8:10">
      <c r="H623" s="1">
        <v>1992</v>
      </c>
      <c r="I623" s="1" t="s">
        <v>166</v>
      </c>
      <c r="J623" s="1">
        <v>46</v>
      </c>
    </row>
    <row r="624" spans="8:10">
      <c r="H624" s="1">
        <v>1992</v>
      </c>
      <c r="I624" s="1" t="s">
        <v>151</v>
      </c>
      <c r="J624" s="1">
        <v>42</v>
      </c>
    </row>
    <row r="625" spans="8:10">
      <c r="H625" s="1">
        <v>1994</v>
      </c>
      <c r="I625" s="1" t="s">
        <v>171</v>
      </c>
      <c r="J625" s="1">
        <v>268</v>
      </c>
    </row>
    <row r="626" spans="8:10">
      <c r="H626" s="1">
        <v>1994</v>
      </c>
      <c r="I626" s="1" t="s">
        <v>158</v>
      </c>
      <c r="J626" s="1">
        <v>249</v>
      </c>
    </row>
    <row r="627" spans="8:10">
      <c r="H627" s="1">
        <v>1994</v>
      </c>
      <c r="I627" s="1" t="s">
        <v>167</v>
      </c>
      <c r="J627" s="1">
        <v>197</v>
      </c>
    </row>
    <row r="628" spans="8:10">
      <c r="H628" s="1">
        <v>1994</v>
      </c>
      <c r="I628" s="1" t="s">
        <v>156</v>
      </c>
      <c r="J628" s="1">
        <v>193</v>
      </c>
    </row>
    <row r="629" spans="8:10">
      <c r="H629" s="1">
        <v>1994</v>
      </c>
      <c r="I629" s="1" t="s">
        <v>170</v>
      </c>
      <c r="J629" s="1">
        <v>153</v>
      </c>
    </row>
    <row r="630" spans="8:10">
      <c r="H630" s="1">
        <v>1994</v>
      </c>
      <c r="I630" s="1" t="s">
        <v>164</v>
      </c>
      <c r="J630" s="1">
        <v>150</v>
      </c>
    </row>
    <row r="631" spans="8:10">
      <c r="H631" s="1">
        <v>1994</v>
      </c>
      <c r="I631" s="1" t="s">
        <v>174</v>
      </c>
      <c r="J631" s="1">
        <v>128</v>
      </c>
    </row>
    <row r="632" spans="8:10">
      <c r="H632" s="1">
        <v>1994</v>
      </c>
      <c r="I632" s="1" t="s">
        <v>144</v>
      </c>
      <c r="J632" s="1">
        <v>97</v>
      </c>
    </row>
    <row r="633" spans="8:10">
      <c r="H633" s="1">
        <v>1994</v>
      </c>
      <c r="I633" s="1" t="s">
        <v>154</v>
      </c>
      <c r="J633" s="1">
        <v>92</v>
      </c>
    </row>
    <row r="634" spans="8:10">
      <c r="H634" s="1">
        <v>1994</v>
      </c>
      <c r="I634" s="1" t="s">
        <v>146</v>
      </c>
      <c r="J634" s="1">
        <v>86</v>
      </c>
    </row>
    <row r="635" spans="8:10">
      <c r="H635" s="1">
        <v>1994</v>
      </c>
      <c r="I635" s="1" t="s">
        <v>169</v>
      </c>
      <c r="J635" s="1">
        <v>68</v>
      </c>
    </row>
    <row r="636" spans="8:10">
      <c r="H636" s="1">
        <v>1994</v>
      </c>
      <c r="I636" s="1" t="s">
        <v>166</v>
      </c>
      <c r="J636" s="1">
        <v>53</v>
      </c>
    </row>
    <row r="637" spans="8:10">
      <c r="H637" s="1">
        <v>1996</v>
      </c>
      <c r="I637" s="1" t="s">
        <v>198</v>
      </c>
      <c r="J637" s="1">
        <v>2042</v>
      </c>
    </row>
    <row r="638" spans="8:10">
      <c r="H638" s="1">
        <v>1996</v>
      </c>
      <c r="I638" s="1" t="s">
        <v>199</v>
      </c>
      <c r="J638" s="1">
        <v>759</v>
      </c>
    </row>
    <row r="639" spans="8:10">
      <c r="H639" s="1">
        <v>1996</v>
      </c>
      <c r="I639" s="1" t="s">
        <v>185</v>
      </c>
      <c r="J639" s="1">
        <v>608</v>
      </c>
    </row>
    <row r="640" spans="8:10">
      <c r="H640" s="1">
        <v>1996</v>
      </c>
      <c r="I640" s="1" t="s">
        <v>196</v>
      </c>
      <c r="J640" s="1">
        <v>477</v>
      </c>
    </row>
    <row r="641" spans="8:10">
      <c r="H641" s="1">
        <v>1996</v>
      </c>
      <c r="I641" s="1" t="s">
        <v>187</v>
      </c>
      <c r="J641" s="1">
        <v>456</v>
      </c>
    </row>
    <row r="642" spans="8:10">
      <c r="H642" s="1">
        <v>1996</v>
      </c>
      <c r="I642" s="1" t="s">
        <v>160</v>
      </c>
      <c r="J642" s="1">
        <v>449</v>
      </c>
    </row>
    <row r="643" spans="8:10">
      <c r="H643" s="1">
        <v>1996</v>
      </c>
      <c r="I643" s="1" t="s">
        <v>197</v>
      </c>
      <c r="J643" s="1">
        <v>419</v>
      </c>
    </row>
    <row r="644" spans="8:10">
      <c r="H644" s="1">
        <v>1996</v>
      </c>
      <c r="I644" s="1" t="s">
        <v>204</v>
      </c>
      <c r="J644" s="1">
        <v>400</v>
      </c>
    </row>
    <row r="645" spans="8:10">
      <c r="H645" s="1">
        <v>1996</v>
      </c>
      <c r="I645" s="1" t="s">
        <v>184</v>
      </c>
      <c r="J645" s="1">
        <v>387</v>
      </c>
    </row>
    <row r="646" spans="8:10">
      <c r="H646" s="1">
        <v>1996</v>
      </c>
      <c r="I646" s="1" t="s">
        <v>153</v>
      </c>
      <c r="J646" s="1">
        <v>387</v>
      </c>
    </row>
    <row r="647" spans="8:10">
      <c r="H647" s="1">
        <v>1996</v>
      </c>
      <c r="I647" s="1" t="s">
        <v>181</v>
      </c>
      <c r="J647" s="1">
        <v>355</v>
      </c>
    </row>
    <row r="648" spans="8:10">
      <c r="H648" s="1">
        <v>1996</v>
      </c>
      <c r="I648" s="1" t="s">
        <v>175</v>
      </c>
      <c r="J648" s="1">
        <v>320</v>
      </c>
    </row>
    <row r="649" spans="8:10">
      <c r="H649" s="1">
        <v>1996</v>
      </c>
      <c r="I649" s="1" t="s">
        <v>161</v>
      </c>
      <c r="J649" s="1">
        <v>299</v>
      </c>
    </row>
    <row r="650" spans="8:10">
      <c r="H650" s="1">
        <v>1996</v>
      </c>
      <c r="I650" s="1" t="s">
        <v>159</v>
      </c>
      <c r="J650" s="1">
        <v>283</v>
      </c>
    </row>
    <row r="651" spans="8:10">
      <c r="H651" s="1">
        <v>1996</v>
      </c>
      <c r="I651" s="1" t="s">
        <v>155</v>
      </c>
      <c r="J651" s="1">
        <v>275</v>
      </c>
    </row>
    <row r="652" spans="8:10">
      <c r="H652" s="1">
        <v>1996</v>
      </c>
      <c r="I652" s="1" t="s">
        <v>203</v>
      </c>
      <c r="J652" s="1">
        <v>243</v>
      </c>
    </row>
    <row r="653" spans="8:10">
      <c r="H653" s="1">
        <v>1996</v>
      </c>
      <c r="I653" s="1" t="s">
        <v>202</v>
      </c>
      <c r="J653" s="1">
        <v>224</v>
      </c>
    </row>
    <row r="654" spans="8:10">
      <c r="H654" s="1">
        <v>1996</v>
      </c>
      <c r="I654" s="1" t="s">
        <v>194</v>
      </c>
      <c r="J654" s="1">
        <v>219</v>
      </c>
    </row>
    <row r="655" spans="8:10">
      <c r="H655" s="1">
        <v>1996</v>
      </c>
      <c r="I655" s="1" t="s">
        <v>200</v>
      </c>
      <c r="J655" s="1">
        <v>216</v>
      </c>
    </row>
    <row r="656" spans="8:10">
      <c r="H656" s="1">
        <v>1996</v>
      </c>
      <c r="I656" s="1" t="s">
        <v>148</v>
      </c>
      <c r="J656" s="1">
        <v>192</v>
      </c>
    </row>
    <row r="657" spans="8:10">
      <c r="H657" s="1">
        <v>1996</v>
      </c>
      <c r="I657" s="1" t="s">
        <v>201</v>
      </c>
      <c r="J657" s="1">
        <v>176</v>
      </c>
    </row>
    <row r="658" spans="8:10">
      <c r="H658" s="1">
        <v>1996</v>
      </c>
      <c r="I658" s="1" t="s">
        <v>150</v>
      </c>
      <c r="J658" s="1">
        <v>165</v>
      </c>
    </row>
    <row r="659" spans="8:10">
      <c r="H659" s="1">
        <v>1996</v>
      </c>
      <c r="I659" s="1" t="s">
        <v>142</v>
      </c>
      <c r="J659" s="1">
        <v>160</v>
      </c>
    </row>
    <row r="660" spans="8:10">
      <c r="H660" s="1">
        <v>1996</v>
      </c>
      <c r="I660" s="1" t="s">
        <v>195</v>
      </c>
      <c r="J660" s="1">
        <v>153</v>
      </c>
    </row>
    <row r="661" spans="8:10">
      <c r="H661" s="1">
        <v>1996</v>
      </c>
      <c r="I661" s="1" t="s">
        <v>190</v>
      </c>
      <c r="J661" s="1">
        <v>128</v>
      </c>
    </row>
    <row r="662" spans="8:10">
      <c r="H662" s="1">
        <v>1996</v>
      </c>
      <c r="I662" s="1" t="s">
        <v>179</v>
      </c>
      <c r="J662" s="1">
        <v>122</v>
      </c>
    </row>
    <row r="663" spans="8:10">
      <c r="H663" s="1">
        <v>1996</v>
      </c>
      <c r="I663" s="1" t="s">
        <v>140</v>
      </c>
      <c r="J663" s="1">
        <v>120</v>
      </c>
    </row>
    <row r="664" spans="8:10">
      <c r="H664" s="1">
        <v>1996</v>
      </c>
      <c r="I664" s="1" t="s">
        <v>151</v>
      </c>
      <c r="J664" s="1">
        <v>90</v>
      </c>
    </row>
    <row r="665" spans="8:10">
      <c r="H665" s="1">
        <v>1996</v>
      </c>
      <c r="I665" s="1" t="s">
        <v>139</v>
      </c>
      <c r="J665" s="1">
        <v>84</v>
      </c>
    </row>
    <row r="666" spans="8:10">
      <c r="H666" s="1">
        <v>1996</v>
      </c>
      <c r="I666" s="1" t="s">
        <v>152</v>
      </c>
      <c r="J666" s="1">
        <v>72</v>
      </c>
    </row>
    <row r="667" spans="8:10">
      <c r="H667" s="1">
        <v>1996</v>
      </c>
      <c r="I667" s="1" t="s">
        <v>173</v>
      </c>
      <c r="J667" s="1">
        <v>32</v>
      </c>
    </row>
    <row r="668" spans="8:10">
      <c r="H668" s="1">
        <v>1998</v>
      </c>
      <c r="I668" s="1" t="s">
        <v>171</v>
      </c>
      <c r="J668" s="1">
        <v>425</v>
      </c>
    </row>
    <row r="669" spans="8:10">
      <c r="H669" s="1">
        <v>1998</v>
      </c>
      <c r="I669" s="1" t="s">
        <v>158</v>
      </c>
      <c r="J669" s="1">
        <v>248</v>
      </c>
    </row>
    <row r="670" spans="8:10">
      <c r="H670" s="1">
        <v>1998</v>
      </c>
      <c r="I670" s="1" t="s">
        <v>167</v>
      </c>
      <c r="J670" s="1">
        <v>227</v>
      </c>
    </row>
    <row r="671" spans="8:10">
      <c r="H671" s="1">
        <v>1998</v>
      </c>
      <c r="I671" s="1" t="s">
        <v>156</v>
      </c>
      <c r="J671" s="1">
        <v>183</v>
      </c>
    </row>
    <row r="672" spans="8:10">
      <c r="H672" s="1">
        <v>1998</v>
      </c>
      <c r="I672" s="1" t="s">
        <v>164</v>
      </c>
      <c r="J672" s="1">
        <v>171</v>
      </c>
    </row>
    <row r="673" spans="8:10">
      <c r="H673" s="1">
        <v>1998</v>
      </c>
      <c r="I673" s="1" t="s">
        <v>170</v>
      </c>
      <c r="J673" s="1">
        <v>154</v>
      </c>
    </row>
    <row r="674" spans="8:10">
      <c r="H674" s="1">
        <v>1998</v>
      </c>
      <c r="I674" s="1" t="s">
        <v>174</v>
      </c>
      <c r="J674" s="1">
        <v>145</v>
      </c>
    </row>
    <row r="675" spans="8:10">
      <c r="H675" s="1">
        <v>1998</v>
      </c>
      <c r="I675" s="1" t="s">
        <v>137</v>
      </c>
      <c r="J675" s="1">
        <v>125</v>
      </c>
    </row>
    <row r="676" spans="8:10">
      <c r="H676" s="1">
        <v>1998</v>
      </c>
      <c r="I676" s="1" t="s">
        <v>144</v>
      </c>
      <c r="J676" s="1">
        <v>110</v>
      </c>
    </row>
    <row r="677" spans="8:10">
      <c r="H677" s="1">
        <v>1998</v>
      </c>
      <c r="I677" s="1" t="s">
        <v>146</v>
      </c>
      <c r="J677" s="1">
        <v>94</v>
      </c>
    </row>
    <row r="678" spans="8:10">
      <c r="H678" s="1">
        <v>1998</v>
      </c>
      <c r="I678" s="1" t="s">
        <v>154</v>
      </c>
      <c r="J678" s="1">
        <v>93</v>
      </c>
    </row>
    <row r="679" spans="8:10">
      <c r="H679" s="1">
        <v>1998</v>
      </c>
      <c r="I679" s="1" t="s">
        <v>165</v>
      </c>
      <c r="J679" s="1">
        <v>80</v>
      </c>
    </row>
    <row r="680" spans="8:10">
      <c r="H680" s="1">
        <v>1998</v>
      </c>
      <c r="I680" s="1" t="s">
        <v>169</v>
      </c>
      <c r="J680" s="1">
        <v>68</v>
      </c>
    </row>
    <row r="681" spans="8:10">
      <c r="H681" s="1">
        <v>1998</v>
      </c>
      <c r="I681" s="1" t="s">
        <v>166</v>
      </c>
      <c r="J681" s="1">
        <v>53</v>
      </c>
    </row>
    <row r="682" spans="8:10">
      <c r="H682" s="1">
        <v>2000</v>
      </c>
      <c r="I682" s="1" t="s">
        <v>198</v>
      </c>
      <c r="J682" s="1">
        <v>2135</v>
      </c>
    </row>
    <row r="683" spans="8:10">
      <c r="H683" s="1">
        <v>2000</v>
      </c>
      <c r="I683" s="1" t="s">
        <v>199</v>
      </c>
      <c r="J683" s="1">
        <v>954</v>
      </c>
    </row>
    <row r="684" spans="8:10">
      <c r="H684" s="1">
        <v>2000</v>
      </c>
      <c r="I684" s="1" t="s">
        <v>185</v>
      </c>
      <c r="J684" s="1">
        <v>547</v>
      </c>
    </row>
    <row r="685" spans="8:10">
      <c r="H685" s="1">
        <v>2000</v>
      </c>
      <c r="I685" s="1" t="s">
        <v>196</v>
      </c>
      <c r="J685" s="1">
        <v>461</v>
      </c>
    </row>
    <row r="686" spans="8:10">
      <c r="H686" s="1">
        <v>2000</v>
      </c>
      <c r="I686" s="1" t="s">
        <v>197</v>
      </c>
      <c r="J686" s="1">
        <v>408</v>
      </c>
    </row>
    <row r="687" spans="8:10">
      <c r="H687" s="1">
        <v>2000</v>
      </c>
      <c r="I687" s="1" t="s">
        <v>187</v>
      </c>
      <c r="J687" s="1">
        <v>401</v>
      </c>
    </row>
    <row r="688" spans="8:10">
      <c r="H688" s="1">
        <v>2000</v>
      </c>
      <c r="I688" s="1" t="s">
        <v>153</v>
      </c>
      <c r="J688" s="1">
        <v>398</v>
      </c>
    </row>
    <row r="689" spans="8:10">
      <c r="H689" s="1">
        <v>2000</v>
      </c>
      <c r="I689" s="1" t="s">
        <v>184</v>
      </c>
      <c r="J689" s="1">
        <v>390</v>
      </c>
    </row>
    <row r="690" spans="8:10">
      <c r="H690" s="1">
        <v>2000</v>
      </c>
      <c r="I690" s="1" t="s">
        <v>175</v>
      </c>
      <c r="J690" s="1">
        <v>350</v>
      </c>
    </row>
    <row r="691" spans="8:10">
      <c r="H691" s="1">
        <v>2000</v>
      </c>
      <c r="I691" s="1" t="s">
        <v>160</v>
      </c>
      <c r="J691" s="1">
        <v>330</v>
      </c>
    </row>
    <row r="692" spans="8:10">
      <c r="H692" s="1">
        <v>2000</v>
      </c>
      <c r="I692" s="1" t="s">
        <v>161</v>
      </c>
      <c r="J692" s="1">
        <v>323</v>
      </c>
    </row>
    <row r="693" spans="8:10">
      <c r="H693" s="1">
        <v>2000</v>
      </c>
      <c r="I693" s="1" t="s">
        <v>204</v>
      </c>
      <c r="J693" s="1">
        <v>314</v>
      </c>
    </row>
    <row r="694" spans="8:10">
      <c r="H694" s="1">
        <v>2000</v>
      </c>
      <c r="I694" s="1" t="s">
        <v>181</v>
      </c>
      <c r="J694" s="1">
        <v>307</v>
      </c>
    </row>
    <row r="695" spans="8:10">
      <c r="H695" s="1">
        <v>2000</v>
      </c>
      <c r="I695" s="1" t="s">
        <v>159</v>
      </c>
      <c r="J695" s="1">
        <v>286</v>
      </c>
    </row>
    <row r="696" spans="8:10">
      <c r="H696" s="1">
        <v>2000</v>
      </c>
      <c r="I696" s="1" t="s">
        <v>155</v>
      </c>
      <c r="J696" s="1">
        <v>279</v>
      </c>
    </row>
    <row r="697" spans="8:10">
      <c r="H697" s="1">
        <v>2000</v>
      </c>
      <c r="I697" s="1" t="s">
        <v>203</v>
      </c>
      <c r="J697" s="1">
        <v>246</v>
      </c>
    </row>
    <row r="698" spans="8:10">
      <c r="H698" s="1">
        <v>2000</v>
      </c>
      <c r="I698" s="1" t="s">
        <v>195</v>
      </c>
      <c r="J698" s="1">
        <v>231</v>
      </c>
    </row>
    <row r="699" spans="8:10">
      <c r="H699" s="1">
        <v>2000</v>
      </c>
      <c r="I699" s="1" t="s">
        <v>202</v>
      </c>
      <c r="J699" s="1">
        <v>217</v>
      </c>
    </row>
    <row r="700" spans="8:10">
      <c r="H700" s="1">
        <v>2000</v>
      </c>
      <c r="I700" s="1" t="s">
        <v>194</v>
      </c>
      <c r="J700" s="1">
        <v>195</v>
      </c>
    </row>
    <row r="701" spans="8:10">
      <c r="H701" s="1">
        <v>2000</v>
      </c>
      <c r="I701" s="1" t="s">
        <v>200</v>
      </c>
      <c r="J701" s="1">
        <v>194</v>
      </c>
    </row>
    <row r="702" spans="8:10">
      <c r="H702" s="1">
        <v>2000</v>
      </c>
      <c r="I702" s="1" t="s">
        <v>142</v>
      </c>
      <c r="J702" s="1">
        <v>192</v>
      </c>
    </row>
    <row r="703" spans="8:10">
      <c r="H703" s="1">
        <v>2000</v>
      </c>
      <c r="I703" s="1" t="s">
        <v>201</v>
      </c>
      <c r="J703" s="1">
        <v>182</v>
      </c>
    </row>
    <row r="704" spans="8:10">
      <c r="H704" s="1">
        <v>2000</v>
      </c>
      <c r="I704" s="1" t="s">
        <v>148</v>
      </c>
      <c r="J704" s="1">
        <v>171</v>
      </c>
    </row>
    <row r="705" spans="8:10">
      <c r="H705" s="1">
        <v>2000</v>
      </c>
      <c r="I705" s="1" t="s">
        <v>150</v>
      </c>
      <c r="J705" s="1">
        <v>170</v>
      </c>
    </row>
    <row r="706" spans="8:10">
      <c r="H706" s="1">
        <v>2000</v>
      </c>
      <c r="I706" s="1" t="s">
        <v>179</v>
      </c>
      <c r="J706" s="1">
        <v>157</v>
      </c>
    </row>
    <row r="707" spans="8:10">
      <c r="H707" s="1">
        <v>2000</v>
      </c>
      <c r="I707" s="1" t="s">
        <v>190</v>
      </c>
      <c r="J707" s="1">
        <v>128</v>
      </c>
    </row>
    <row r="708" spans="8:10">
      <c r="H708" s="1">
        <v>2000</v>
      </c>
      <c r="I708" s="1" t="s">
        <v>140</v>
      </c>
      <c r="J708" s="1">
        <v>120</v>
      </c>
    </row>
    <row r="709" spans="8:10">
      <c r="H709" s="1">
        <v>2000</v>
      </c>
      <c r="I709" s="1" t="s">
        <v>135</v>
      </c>
      <c r="J709" s="1">
        <v>102</v>
      </c>
    </row>
    <row r="710" spans="8:10">
      <c r="H710" s="1">
        <v>2000</v>
      </c>
      <c r="I710" s="1" t="s">
        <v>152</v>
      </c>
      <c r="J710" s="1">
        <v>101</v>
      </c>
    </row>
    <row r="711" spans="8:10">
      <c r="H711" s="1">
        <v>2000</v>
      </c>
      <c r="I711" s="1" t="s">
        <v>131</v>
      </c>
      <c r="J711" s="1">
        <v>100</v>
      </c>
    </row>
    <row r="712" spans="8:10">
      <c r="H712" s="1">
        <v>2000</v>
      </c>
      <c r="I712" s="1" t="s">
        <v>139</v>
      </c>
      <c r="J712" s="1">
        <v>95</v>
      </c>
    </row>
    <row r="713" spans="8:10">
      <c r="H713" s="1">
        <v>2000</v>
      </c>
      <c r="I713" s="1" t="s">
        <v>151</v>
      </c>
      <c r="J713" s="1">
        <v>84</v>
      </c>
    </row>
    <row r="714" spans="8:10">
      <c r="H714" s="1">
        <v>2000</v>
      </c>
      <c r="I714" s="1" t="s">
        <v>173</v>
      </c>
      <c r="J714" s="1">
        <v>48</v>
      </c>
    </row>
    <row r="715" spans="8:10">
      <c r="H715" s="1">
        <v>2000</v>
      </c>
      <c r="I715" s="1" t="s">
        <v>133</v>
      </c>
      <c r="J715" s="1">
        <v>24</v>
      </c>
    </row>
    <row r="716" spans="8:10">
      <c r="H716" s="1">
        <v>2002</v>
      </c>
      <c r="I716" s="1" t="s">
        <v>171</v>
      </c>
      <c r="J716" s="1">
        <v>467</v>
      </c>
    </row>
    <row r="717" spans="8:10">
      <c r="H717" s="1">
        <v>2002</v>
      </c>
      <c r="I717" s="1" t="s">
        <v>158</v>
      </c>
      <c r="J717" s="1">
        <v>278</v>
      </c>
    </row>
    <row r="718" spans="8:10">
      <c r="H718" s="1">
        <v>2002</v>
      </c>
      <c r="I718" s="1" t="s">
        <v>167</v>
      </c>
      <c r="J718" s="1">
        <v>260</v>
      </c>
    </row>
    <row r="719" spans="8:10">
      <c r="H719" s="1">
        <v>2002</v>
      </c>
      <c r="I719" s="1" t="s">
        <v>170</v>
      </c>
      <c r="J719" s="1">
        <v>195</v>
      </c>
    </row>
    <row r="720" spans="8:10">
      <c r="H720" s="1">
        <v>2002</v>
      </c>
      <c r="I720" s="1" t="s">
        <v>156</v>
      </c>
      <c r="J720" s="1">
        <v>190</v>
      </c>
    </row>
    <row r="721" spans="8:10">
      <c r="H721" s="1">
        <v>2002</v>
      </c>
      <c r="I721" s="1" t="s">
        <v>164</v>
      </c>
      <c r="J721" s="1">
        <v>166</v>
      </c>
    </row>
    <row r="722" spans="8:10">
      <c r="H722" s="1">
        <v>2002</v>
      </c>
      <c r="I722" s="1" t="s">
        <v>174</v>
      </c>
      <c r="J722" s="1">
        <v>143</v>
      </c>
    </row>
    <row r="723" spans="8:10">
      <c r="H723" s="1">
        <v>2002</v>
      </c>
      <c r="I723" s="1" t="s">
        <v>137</v>
      </c>
      <c r="J723" s="1">
        <v>118</v>
      </c>
    </row>
    <row r="724" spans="8:10">
      <c r="H724" s="1">
        <v>2002</v>
      </c>
      <c r="I724" s="1" t="s">
        <v>146</v>
      </c>
      <c r="J724" s="1">
        <v>111</v>
      </c>
    </row>
    <row r="725" spans="8:10">
      <c r="H725" s="1">
        <v>2002</v>
      </c>
      <c r="I725" s="1" t="s">
        <v>154</v>
      </c>
      <c r="J725" s="1">
        <v>110</v>
      </c>
    </row>
    <row r="726" spans="8:10">
      <c r="H726" s="1">
        <v>2002</v>
      </c>
      <c r="I726" s="1" t="s">
        <v>144</v>
      </c>
      <c r="J726" s="1">
        <v>105</v>
      </c>
    </row>
    <row r="727" spans="8:10">
      <c r="H727" s="1">
        <v>2002</v>
      </c>
      <c r="I727" s="1" t="s">
        <v>165</v>
      </c>
      <c r="J727" s="1">
        <v>94</v>
      </c>
    </row>
    <row r="728" spans="8:10">
      <c r="H728" s="1">
        <v>2002</v>
      </c>
      <c r="I728" s="1" t="s">
        <v>169</v>
      </c>
      <c r="J728" s="1">
        <v>73</v>
      </c>
    </row>
    <row r="729" spans="8:10">
      <c r="H729" s="1">
        <v>2002</v>
      </c>
      <c r="I729" s="1" t="s">
        <v>166</v>
      </c>
      <c r="J729" s="1">
        <v>54</v>
      </c>
    </row>
    <row r="730" spans="8:10">
      <c r="H730" s="1">
        <v>2002</v>
      </c>
      <c r="I730" s="1" t="s">
        <v>162</v>
      </c>
      <c r="J730" s="1">
        <v>38</v>
      </c>
    </row>
    <row r="731" spans="8:10">
      <c r="H731" s="1">
        <v>2004</v>
      </c>
      <c r="I731" s="1" t="s">
        <v>198</v>
      </c>
      <c r="J731" s="1">
        <v>1993</v>
      </c>
    </row>
    <row r="732" spans="8:10">
      <c r="H732" s="1">
        <v>2004</v>
      </c>
      <c r="I732" s="1" t="s">
        <v>199</v>
      </c>
      <c r="J732" s="1">
        <v>937</v>
      </c>
    </row>
    <row r="733" spans="8:10">
      <c r="H733" s="1">
        <v>2004</v>
      </c>
      <c r="I733" s="1" t="s">
        <v>185</v>
      </c>
      <c r="J733" s="1">
        <v>557</v>
      </c>
    </row>
    <row r="734" spans="8:10">
      <c r="H734" s="1">
        <v>2004</v>
      </c>
      <c r="I734" s="1" t="s">
        <v>196</v>
      </c>
      <c r="J734" s="1">
        <v>464</v>
      </c>
    </row>
    <row r="735" spans="8:10">
      <c r="H735" s="1">
        <v>2004</v>
      </c>
      <c r="I735" s="1" t="s">
        <v>184</v>
      </c>
      <c r="J735" s="1">
        <v>424</v>
      </c>
    </row>
    <row r="736" spans="8:10">
      <c r="H736" s="1">
        <v>2004</v>
      </c>
      <c r="I736" s="1" t="s">
        <v>187</v>
      </c>
      <c r="J736" s="1">
        <v>400</v>
      </c>
    </row>
    <row r="737" spans="8:10">
      <c r="H737" s="1">
        <v>2004</v>
      </c>
      <c r="I737" s="1" t="s">
        <v>197</v>
      </c>
      <c r="J737" s="1">
        <v>390</v>
      </c>
    </row>
    <row r="738" spans="8:10">
      <c r="H738" s="1">
        <v>2004</v>
      </c>
      <c r="I738" s="1" t="s">
        <v>153</v>
      </c>
      <c r="J738" s="1">
        <v>384</v>
      </c>
    </row>
    <row r="739" spans="8:10">
      <c r="H739" s="1">
        <v>2004</v>
      </c>
      <c r="I739" s="1" t="s">
        <v>175</v>
      </c>
      <c r="J739" s="1">
        <v>352</v>
      </c>
    </row>
    <row r="740" spans="8:10">
      <c r="H740" s="1">
        <v>2004</v>
      </c>
      <c r="I740" s="1" t="s">
        <v>204</v>
      </c>
      <c r="J740" s="1">
        <v>342</v>
      </c>
    </row>
    <row r="741" spans="8:10">
      <c r="H741" s="1">
        <v>2004</v>
      </c>
      <c r="I741" s="1" t="s">
        <v>160</v>
      </c>
      <c r="J741" s="1">
        <v>328</v>
      </c>
    </row>
    <row r="742" spans="8:10">
      <c r="H742" s="1">
        <v>2004</v>
      </c>
      <c r="I742" s="1" t="s">
        <v>161</v>
      </c>
      <c r="J742" s="1">
        <v>328</v>
      </c>
    </row>
    <row r="743" spans="8:10">
      <c r="H743" s="1">
        <v>2004</v>
      </c>
      <c r="I743" s="1" t="s">
        <v>159</v>
      </c>
      <c r="J743" s="1">
        <v>286</v>
      </c>
    </row>
    <row r="744" spans="8:10">
      <c r="H744" s="1">
        <v>2004</v>
      </c>
      <c r="I744" s="1" t="s">
        <v>155</v>
      </c>
      <c r="J744" s="1">
        <v>283</v>
      </c>
    </row>
    <row r="745" spans="8:10">
      <c r="H745" s="1">
        <v>2004</v>
      </c>
      <c r="I745" s="1" t="s">
        <v>181</v>
      </c>
      <c r="J745" s="1">
        <v>280</v>
      </c>
    </row>
    <row r="746" spans="8:10">
      <c r="H746" s="1">
        <v>2004</v>
      </c>
      <c r="I746" s="1" t="s">
        <v>195</v>
      </c>
      <c r="J746" s="1">
        <v>255</v>
      </c>
    </row>
    <row r="747" spans="8:10">
      <c r="H747" s="1">
        <v>2004</v>
      </c>
      <c r="I747" s="1" t="s">
        <v>203</v>
      </c>
      <c r="J747" s="1">
        <v>249</v>
      </c>
    </row>
    <row r="748" spans="8:10">
      <c r="H748" s="1">
        <v>2004</v>
      </c>
      <c r="I748" s="1" t="s">
        <v>202</v>
      </c>
      <c r="J748" s="1">
        <v>222</v>
      </c>
    </row>
    <row r="749" spans="8:10">
      <c r="H749" s="1">
        <v>2004</v>
      </c>
      <c r="I749" s="1" t="s">
        <v>194</v>
      </c>
      <c r="J749" s="1">
        <v>203</v>
      </c>
    </row>
    <row r="750" spans="8:10">
      <c r="H750" s="1">
        <v>2004</v>
      </c>
      <c r="I750" s="1" t="s">
        <v>200</v>
      </c>
      <c r="J750" s="1">
        <v>196</v>
      </c>
    </row>
    <row r="751" spans="8:10">
      <c r="H751" s="1">
        <v>2004</v>
      </c>
      <c r="I751" s="1" t="s">
        <v>142</v>
      </c>
      <c r="J751" s="1">
        <v>191</v>
      </c>
    </row>
    <row r="752" spans="8:10">
      <c r="H752" s="1">
        <v>2004</v>
      </c>
      <c r="I752" s="1" t="s">
        <v>148</v>
      </c>
      <c r="J752" s="1">
        <v>172</v>
      </c>
    </row>
    <row r="753" spans="8:10">
      <c r="H753" s="1">
        <v>2004</v>
      </c>
      <c r="I753" s="1" t="s">
        <v>150</v>
      </c>
      <c r="J753" s="1">
        <v>172</v>
      </c>
    </row>
    <row r="754" spans="8:10">
      <c r="H754" s="1">
        <v>2004</v>
      </c>
      <c r="I754" s="1" t="s">
        <v>201</v>
      </c>
      <c r="J754" s="1">
        <v>170</v>
      </c>
    </row>
    <row r="755" spans="8:10">
      <c r="H755" s="1">
        <v>2004</v>
      </c>
      <c r="I755" s="1" t="s">
        <v>179</v>
      </c>
      <c r="J755" s="1">
        <v>129</v>
      </c>
    </row>
    <row r="756" spans="8:10">
      <c r="H756" s="1">
        <v>2004</v>
      </c>
      <c r="I756" s="1" t="s">
        <v>190</v>
      </c>
      <c r="J756" s="1">
        <v>128</v>
      </c>
    </row>
    <row r="757" spans="8:10">
      <c r="H757" s="1">
        <v>2004</v>
      </c>
      <c r="I757" s="1" t="s">
        <v>135</v>
      </c>
      <c r="J757" s="1">
        <v>124</v>
      </c>
    </row>
    <row r="758" spans="8:10">
      <c r="H758" s="1">
        <v>2004</v>
      </c>
      <c r="I758" s="1" t="s">
        <v>140</v>
      </c>
      <c r="J758" s="1">
        <v>118</v>
      </c>
    </row>
    <row r="759" spans="8:10">
      <c r="H759" s="1">
        <v>2004</v>
      </c>
      <c r="I759" s="1" t="s">
        <v>152</v>
      </c>
      <c r="J759" s="1">
        <v>101</v>
      </c>
    </row>
    <row r="760" spans="8:10">
      <c r="H760" s="1">
        <v>2004</v>
      </c>
      <c r="I760" s="1" t="s">
        <v>131</v>
      </c>
      <c r="J760" s="1">
        <v>99</v>
      </c>
    </row>
    <row r="761" spans="8:10">
      <c r="H761" s="1">
        <v>2004</v>
      </c>
      <c r="I761" s="1" t="s">
        <v>139</v>
      </c>
      <c r="J761" s="1">
        <v>96</v>
      </c>
    </row>
    <row r="762" spans="8:10">
      <c r="H762" s="1">
        <v>2004</v>
      </c>
      <c r="I762" s="1" t="s">
        <v>151</v>
      </c>
      <c r="J762" s="1">
        <v>84</v>
      </c>
    </row>
    <row r="763" spans="8:10">
      <c r="H763" s="1">
        <v>2004</v>
      </c>
      <c r="I763" s="1" t="s">
        <v>173</v>
      </c>
      <c r="J763" s="1">
        <v>64</v>
      </c>
    </row>
    <row r="764" spans="8:10">
      <c r="H764" s="1">
        <v>2004</v>
      </c>
      <c r="I764" s="1" t="s">
        <v>133</v>
      </c>
      <c r="J764" s="1">
        <v>32</v>
      </c>
    </row>
    <row r="765" spans="8:10">
      <c r="H765" s="1">
        <v>2006</v>
      </c>
      <c r="I765" s="1" t="s">
        <v>171</v>
      </c>
      <c r="J765" s="1">
        <v>441</v>
      </c>
    </row>
    <row r="766" spans="8:10">
      <c r="H766" s="1">
        <v>2006</v>
      </c>
      <c r="I766" s="1" t="s">
        <v>167</v>
      </c>
      <c r="J766" s="1">
        <v>307</v>
      </c>
    </row>
    <row r="767" spans="8:10">
      <c r="H767" s="1">
        <v>2006</v>
      </c>
      <c r="I767" s="1" t="s">
        <v>158</v>
      </c>
      <c r="J767" s="1">
        <v>287</v>
      </c>
    </row>
    <row r="768" spans="8:10">
      <c r="H768" s="1">
        <v>2006</v>
      </c>
      <c r="I768" s="1" t="s">
        <v>156</v>
      </c>
      <c r="J768" s="1">
        <v>204</v>
      </c>
    </row>
    <row r="769" spans="8:10">
      <c r="H769" s="1">
        <v>2006</v>
      </c>
      <c r="I769" s="1" t="s">
        <v>137</v>
      </c>
      <c r="J769" s="1">
        <v>187</v>
      </c>
    </row>
    <row r="770" spans="8:10">
      <c r="H770" s="1">
        <v>2006</v>
      </c>
      <c r="I770" s="1" t="s">
        <v>164</v>
      </c>
      <c r="J770" s="1">
        <v>174</v>
      </c>
    </row>
    <row r="771" spans="8:10">
      <c r="H771" s="1">
        <v>2006</v>
      </c>
      <c r="I771" s="1" t="s">
        <v>170</v>
      </c>
      <c r="J771" s="1">
        <v>150</v>
      </c>
    </row>
    <row r="772" spans="8:10">
      <c r="H772" s="1">
        <v>2006</v>
      </c>
      <c r="I772" s="1" t="s">
        <v>174</v>
      </c>
      <c r="J772" s="1">
        <v>147</v>
      </c>
    </row>
    <row r="773" spans="8:10">
      <c r="H773" s="1">
        <v>2006</v>
      </c>
      <c r="I773" s="1" t="s">
        <v>144</v>
      </c>
      <c r="J773" s="1">
        <v>116</v>
      </c>
    </row>
    <row r="774" spans="8:10">
      <c r="H774" s="1">
        <v>2006</v>
      </c>
      <c r="I774" s="1" t="s">
        <v>154</v>
      </c>
      <c r="J774" s="1">
        <v>108</v>
      </c>
    </row>
    <row r="775" spans="8:10">
      <c r="H775" s="1">
        <v>2006</v>
      </c>
      <c r="I775" s="1" t="s">
        <v>146</v>
      </c>
      <c r="J775" s="1">
        <v>106</v>
      </c>
    </row>
    <row r="776" spans="8:10">
      <c r="H776" s="1">
        <v>2006</v>
      </c>
      <c r="I776" s="1" t="s">
        <v>165</v>
      </c>
      <c r="J776" s="1">
        <v>91</v>
      </c>
    </row>
    <row r="777" spans="8:10">
      <c r="H777" s="1">
        <v>2006</v>
      </c>
      <c r="I777" s="1" t="s">
        <v>169</v>
      </c>
      <c r="J777" s="1">
        <v>79</v>
      </c>
    </row>
    <row r="778" spans="8:10">
      <c r="H778" s="1">
        <v>2006</v>
      </c>
      <c r="I778" s="1" t="s">
        <v>166</v>
      </c>
      <c r="J778" s="1">
        <v>59</v>
      </c>
    </row>
    <row r="779" spans="8:10">
      <c r="H779" s="1">
        <v>2006</v>
      </c>
      <c r="I779" s="1" t="s">
        <v>162</v>
      </c>
      <c r="J779" s="1">
        <v>42</v>
      </c>
    </row>
    <row r="780" spans="8:10">
      <c r="H780" s="1">
        <v>2008</v>
      </c>
      <c r="I780" s="1" t="s">
        <v>198</v>
      </c>
      <c r="J780" s="1">
        <v>2053</v>
      </c>
    </row>
    <row r="781" spans="8:10">
      <c r="H781" s="1">
        <v>2008</v>
      </c>
      <c r="I781" s="1" t="s">
        <v>199</v>
      </c>
      <c r="J781" s="1">
        <v>1022</v>
      </c>
    </row>
    <row r="782" spans="8:10">
      <c r="H782" s="1">
        <v>2008</v>
      </c>
      <c r="I782" s="1" t="s">
        <v>185</v>
      </c>
      <c r="J782" s="1">
        <v>555</v>
      </c>
    </row>
    <row r="783" spans="8:10">
      <c r="H783" s="1">
        <v>2008</v>
      </c>
      <c r="I783" s="1" t="s">
        <v>196</v>
      </c>
      <c r="J783" s="1">
        <v>508</v>
      </c>
    </row>
    <row r="784" spans="8:10">
      <c r="H784" s="1">
        <v>2008</v>
      </c>
      <c r="I784" s="1" t="s">
        <v>184</v>
      </c>
      <c r="J784" s="1">
        <v>469</v>
      </c>
    </row>
    <row r="785" spans="8:10">
      <c r="H785" s="1">
        <v>2008</v>
      </c>
      <c r="I785" s="1" t="s">
        <v>187</v>
      </c>
      <c r="J785" s="1">
        <v>400</v>
      </c>
    </row>
    <row r="786" spans="8:10">
      <c r="H786" s="1">
        <v>2008</v>
      </c>
      <c r="I786" s="1" t="s">
        <v>197</v>
      </c>
      <c r="J786" s="1">
        <v>390</v>
      </c>
    </row>
    <row r="787" spans="8:10">
      <c r="H787" s="1">
        <v>2008</v>
      </c>
      <c r="I787" s="1" t="s">
        <v>175</v>
      </c>
      <c r="J787" s="1">
        <v>387</v>
      </c>
    </row>
    <row r="788" spans="8:10">
      <c r="H788" s="1">
        <v>2008</v>
      </c>
      <c r="I788" s="1" t="s">
        <v>153</v>
      </c>
      <c r="J788" s="1">
        <v>386</v>
      </c>
    </row>
    <row r="789" spans="8:10">
      <c r="H789" s="1">
        <v>2008</v>
      </c>
      <c r="I789" s="1" t="s">
        <v>161</v>
      </c>
      <c r="J789" s="1">
        <v>343</v>
      </c>
    </row>
    <row r="790" spans="8:10">
      <c r="H790" s="1">
        <v>2008</v>
      </c>
      <c r="I790" s="1" t="s">
        <v>204</v>
      </c>
      <c r="J790" s="1">
        <v>343</v>
      </c>
    </row>
    <row r="791" spans="8:10">
      <c r="H791" s="1">
        <v>2008</v>
      </c>
      <c r="I791" s="1" t="s">
        <v>160</v>
      </c>
      <c r="J791" s="1">
        <v>330</v>
      </c>
    </row>
    <row r="792" spans="8:10">
      <c r="H792" s="1">
        <v>2008</v>
      </c>
      <c r="I792" s="1" t="s">
        <v>159</v>
      </c>
      <c r="J792" s="1">
        <v>286</v>
      </c>
    </row>
    <row r="793" spans="8:10">
      <c r="H793" s="1">
        <v>2008</v>
      </c>
      <c r="I793" s="1" t="s">
        <v>181</v>
      </c>
      <c r="J793" s="1">
        <v>283</v>
      </c>
    </row>
    <row r="794" spans="8:10">
      <c r="H794" s="1">
        <v>2008</v>
      </c>
      <c r="I794" s="1" t="s">
        <v>155</v>
      </c>
      <c r="J794" s="1">
        <v>283</v>
      </c>
    </row>
    <row r="795" spans="8:10">
      <c r="H795" s="1">
        <v>2008</v>
      </c>
      <c r="I795" s="1" t="s">
        <v>195</v>
      </c>
      <c r="J795" s="1">
        <v>256</v>
      </c>
    </row>
    <row r="796" spans="8:10">
      <c r="H796" s="1">
        <v>2008</v>
      </c>
      <c r="I796" s="1" t="s">
        <v>203</v>
      </c>
      <c r="J796" s="1">
        <v>252</v>
      </c>
    </row>
    <row r="797" spans="8:10">
      <c r="H797" s="1">
        <v>2008</v>
      </c>
      <c r="I797" s="1" t="s">
        <v>202</v>
      </c>
      <c r="J797" s="1">
        <v>234</v>
      </c>
    </row>
    <row r="798" spans="8:10">
      <c r="H798" s="1">
        <v>2008</v>
      </c>
      <c r="I798" s="1" t="s">
        <v>200</v>
      </c>
      <c r="J798" s="1">
        <v>195</v>
      </c>
    </row>
    <row r="799" spans="8:10">
      <c r="H799" s="1">
        <v>2008</v>
      </c>
      <c r="I799" s="1" t="s">
        <v>194</v>
      </c>
      <c r="J799" s="1">
        <v>193</v>
      </c>
    </row>
    <row r="800" spans="8:10">
      <c r="H800" s="1">
        <v>2008</v>
      </c>
      <c r="I800" s="1" t="s">
        <v>142</v>
      </c>
      <c r="J800" s="1">
        <v>191</v>
      </c>
    </row>
    <row r="801" spans="8:10">
      <c r="H801" s="1">
        <v>2008</v>
      </c>
      <c r="I801" s="1" t="s">
        <v>148</v>
      </c>
      <c r="J801" s="1">
        <v>173</v>
      </c>
    </row>
    <row r="802" spans="8:10">
      <c r="H802" s="1">
        <v>2008</v>
      </c>
      <c r="I802" s="1" t="s">
        <v>150</v>
      </c>
      <c r="J802" s="1">
        <v>171</v>
      </c>
    </row>
    <row r="803" spans="8:10">
      <c r="H803" s="1">
        <v>2008</v>
      </c>
      <c r="I803" s="1" t="s">
        <v>201</v>
      </c>
      <c r="J803" s="1">
        <v>169</v>
      </c>
    </row>
    <row r="804" spans="8:10">
      <c r="H804" s="1">
        <v>2008</v>
      </c>
      <c r="I804" s="1" t="s">
        <v>179</v>
      </c>
      <c r="J804" s="1">
        <v>140</v>
      </c>
    </row>
    <row r="805" spans="8:10">
      <c r="H805" s="1">
        <v>2008</v>
      </c>
      <c r="I805" s="1" t="s">
        <v>190</v>
      </c>
      <c r="J805" s="1">
        <v>128</v>
      </c>
    </row>
    <row r="806" spans="8:10">
      <c r="H806" s="1">
        <v>2008</v>
      </c>
      <c r="I806" s="1" t="s">
        <v>135</v>
      </c>
      <c r="J806" s="1">
        <v>126</v>
      </c>
    </row>
    <row r="807" spans="8:10">
      <c r="H807" s="1">
        <v>2008</v>
      </c>
      <c r="I807" s="1" t="s">
        <v>140</v>
      </c>
      <c r="J807" s="1">
        <v>120</v>
      </c>
    </row>
    <row r="808" spans="8:10">
      <c r="H808" s="1">
        <v>2008</v>
      </c>
      <c r="I808" s="1" t="s">
        <v>131</v>
      </c>
      <c r="J808" s="1">
        <v>110</v>
      </c>
    </row>
    <row r="809" spans="8:10">
      <c r="H809" s="1">
        <v>2008</v>
      </c>
      <c r="I809" s="1" t="s">
        <v>152</v>
      </c>
      <c r="J809" s="1">
        <v>102</v>
      </c>
    </row>
    <row r="810" spans="8:10">
      <c r="H810" s="1">
        <v>2008</v>
      </c>
      <c r="I810" s="1" t="s">
        <v>139</v>
      </c>
      <c r="J810" s="1">
        <v>96</v>
      </c>
    </row>
    <row r="811" spans="8:10">
      <c r="H811" s="1">
        <v>2008</v>
      </c>
      <c r="I811" s="1" t="s">
        <v>151</v>
      </c>
      <c r="J811" s="1">
        <v>95</v>
      </c>
    </row>
    <row r="812" spans="8:10">
      <c r="H812" s="1">
        <v>2008</v>
      </c>
      <c r="I812" s="1" t="s">
        <v>173</v>
      </c>
      <c r="J812" s="1">
        <v>72</v>
      </c>
    </row>
    <row r="813" spans="8:10">
      <c r="H813" s="1">
        <v>2008</v>
      </c>
      <c r="I813" s="1" t="s">
        <v>133</v>
      </c>
      <c r="J813" s="1">
        <v>32</v>
      </c>
    </row>
    <row r="814" spans="8:10">
      <c r="H814" s="1">
        <v>2010</v>
      </c>
      <c r="I814" s="1" t="s">
        <v>171</v>
      </c>
      <c r="J814" s="1">
        <v>417</v>
      </c>
    </row>
    <row r="815" spans="8:10">
      <c r="H815" s="1">
        <v>2010</v>
      </c>
      <c r="I815" s="1" t="s">
        <v>158</v>
      </c>
      <c r="J815" s="1">
        <v>309</v>
      </c>
    </row>
    <row r="816" spans="8:10">
      <c r="H816" s="1">
        <v>2010</v>
      </c>
      <c r="I816" s="1" t="s">
        <v>167</v>
      </c>
      <c r="J816" s="1">
        <v>292</v>
      </c>
    </row>
    <row r="817" spans="8:10">
      <c r="H817" s="1">
        <v>2010</v>
      </c>
      <c r="I817" s="1" t="s">
        <v>156</v>
      </c>
      <c r="J817" s="1">
        <v>204</v>
      </c>
    </row>
    <row r="818" spans="8:10">
      <c r="H818" s="1">
        <v>2010</v>
      </c>
      <c r="I818" s="1" t="s">
        <v>137</v>
      </c>
      <c r="J818" s="1">
        <v>185</v>
      </c>
    </row>
    <row r="819" spans="8:10">
      <c r="H819" s="1">
        <v>2010</v>
      </c>
      <c r="I819" s="1" t="s">
        <v>164</v>
      </c>
      <c r="J819" s="1">
        <v>177</v>
      </c>
    </row>
    <row r="820" spans="8:10">
      <c r="H820" s="1">
        <v>2010</v>
      </c>
      <c r="I820" s="1" t="s">
        <v>144</v>
      </c>
      <c r="J820" s="1">
        <v>172</v>
      </c>
    </row>
    <row r="821" spans="8:10">
      <c r="H821" s="1">
        <v>2010</v>
      </c>
      <c r="I821" s="1" t="s">
        <v>170</v>
      </c>
      <c r="J821" s="1">
        <v>159</v>
      </c>
    </row>
    <row r="822" spans="8:10">
      <c r="H822" s="1">
        <v>2010</v>
      </c>
      <c r="I822" s="1" t="s">
        <v>174</v>
      </c>
      <c r="J822" s="1">
        <v>145</v>
      </c>
    </row>
    <row r="823" spans="8:10">
      <c r="H823" s="1">
        <v>2010</v>
      </c>
      <c r="I823" s="1" t="s">
        <v>146</v>
      </c>
      <c r="J823" s="1">
        <v>109</v>
      </c>
    </row>
    <row r="824" spans="8:10">
      <c r="H824" s="1">
        <v>2010</v>
      </c>
      <c r="I824" s="1" t="s">
        <v>154</v>
      </c>
      <c r="J824" s="1">
        <v>107</v>
      </c>
    </row>
    <row r="825" spans="8:10">
      <c r="H825" s="1">
        <v>2010</v>
      </c>
      <c r="I825" s="1" t="s">
        <v>165</v>
      </c>
      <c r="J825" s="1">
        <v>93</v>
      </c>
    </row>
    <row r="826" spans="8:10">
      <c r="H826" s="1">
        <v>2010</v>
      </c>
      <c r="I826" s="1" t="s">
        <v>169</v>
      </c>
      <c r="J826" s="1">
        <v>68</v>
      </c>
    </row>
    <row r="827" spans="8:10">
      <c r="H827" s="1">
        <v>2010</v>
      </c>
      <c r="I827" s="1" t="s">
        <v>166</v>
      </c>
      <c r="J827" s="1">
        <v>52</v>
      </c>
    </row>
    <row r="828" spans="8:10">
      <c r="H828" s="1">
        <v>2010</v>
      </c>
      <c r="I828" s="1" t="s">
        <v>162</v>
      </c>
      <c r="J828" s="1">
        <v>47</v>
      </c>
    </row>
    <row r="829" spans="8:10">
      <c r="H829" s="1">
        <v>2012</v>
      </c>
      <c r="I829" s="1" t="s">
        <v>198</v>
      </c>
      <c r="J829" s="1">
        <v>2075</v>
      </c>
    </row>
    <row r="830" spans="8:10">
      <c r="H830" s="1">
        <v>2012</v>
      </c>
      <c r="I830" s="1" t="s">
        <v>199</v>
      </c>
      <c r="J830" s="1">
        <v>931</v>
      </c>
    </row>
    <row r="831" spans="8:10">
      <c r="H831" s="1">
        <v>2012</v>
      </c>
      <c r="I831" s="1" t="s">
        <v>185</v>
      </c>
      <c r="J831" s="1">
        <v>549</v>
      </c>
    </row>
    <row r="832" spans="8:10">
      <c r="H832" s="1">
        <v>2012</v>
      </c>
      <c r="I832" s="1" t="s">
        <v>196</v>
      </c>
      <c r="J832" s="1">
        <v>501</v>
      </c>
    </row>
    <row r="833" spans="8:10">
      <c r="H833" s="1">
        <v>2012</v>
      </c>
      <c r="I833" s="1" t="s">
        <v>184</v>
      </c>
      <c r="J833" s="1">
        <v>467</v>
      </c>
    </row>
    <row r="834" spans="8:10">
      <c r="H834" s="1">
        <v>2012</v>
      </c>
      <c r="I834" s="1" t="s">
        <v>197</v>
      </c>
      <c r="J834" s="1">
        <v>390</v>
      </c>
    </row>
    <row r="835" spans="8:10">
      <c r="H835" s="1">
        <v>2012</v>
      </c>
      <c r="I835" s="1" t="s">
        <v>175</v>
      </c>
      <c r="J835" s="1">
        <v>387</v>
      </c>
    </row>
    <row r="836" spans="8:10">
      <c r="H836" s="1">
        <v>2012</v>
      </c>
      <c r="I836" s="1" t="s">
        <v>153</v>
      </c>
      <c r="J836" s="1">
        <v>384</v>
      </c>
    </row>
    <row r="837" spans="8:10">
      <c r="H837" s="1">
        <v>2012</v>
      </c>
      <c r="I837" s="1" t="s">
        <v>187</v>
      </c>
      <c r="J837" s="1">
        <v>379</v>
      </c>
    </row>
    <row r="838" spans="8:10">
      <c r="H838" s="1">
        <v>2012</v>
      </c>
      <c r="I838" s="1" t="s">
        <v>161</v>
      </c>
      <c r="J838" s="1">
        <v>347</v>
      </c>
    </row>
    <row r="839" spans="8:10">
      <c r="H839" s="1">
        <v>2012</v>
      </c>
      <c r="I839" s="1" t="s">
        <v>204</v>
      </c>
      <c r="J839" s="1">
        <v>339</v>
      </c>
    </row>
    <row r="840" spans="8:10">
      <c r="H840" s="1">
        <v>2012</v>
      </c>
      <c r="I840" s="1" t="s">
        <v>160</v>
      </c>
      <c r="J840" s="1">
        <v>332</v>
      </c>
    </row>
    <row r="841" spans="8:10">
      <c r="H841" s="1">
        <v>2012</v>
      </c>
      <c r="I841" s="1" t="s">
        <v>155</v>
      </c>
      <c r="J841" s="1">
        <v>287</v>
      </c>
    </row>
    <row r="842" spans="8:10">
      <c r="H842" s="1">
        <v>2012</v>
      </c>
      <c r="I842" s="1" t="s">
        <v>159</v>
      </c>
      <c r="J842" s="1">
        <v>286</v>
      </c>
    </row>
    <row r="843" spans="8:10">
      <c r="H843" s="1">
        <v>2012</v>
      </c>
      <c r="I843" s="1" t="s">
        <v>181</v>
      </c>
      <c r="J843" s="1">
        <v>283</v>
      </c>
    </row>
    <row r="844" spans="8:10">
      <c r="H844" s="1">
        <v>2012</v>
      </c>
      <c r="I844" s="1" t="s">
        <v>195</v>
      </c>
      <c r="J844" s="1">
        <v>257</v>
      </c>
    </row>
    <row r="845" spans="8:10">
      <c r="H845" s="1">
        <v>2012</v>
      </c>
      <c r="I845" s="1" t="s">
        <v>203</v>
      </c>
      <c r="J845" s="1">
        <v>252</v>
      </c>
    </row>
    <row r="846" spans="8:10">
      <c r="H846" s="1">
        <v>2012</v>
      </c>
      <c r="I846" s="1" t="s">
        <v>202</v>
      </c>
      <c r="J846" s="1">
        <v>244</v>
      </c>
    </row>
    <row r="847" spans="8:10">
      <c r="H847" s="1">
        <v>2012</v>
      </c>
      <c r="I847" s="1" t="s">
        <v>194</v>
      </c>
      <c r="J847" s="1">
        <v>198</v>
      </c>
    </row>
    <row r="848" spans="8:10">
      <c r="H848" s="1">
        <v>2012</v>
      </c>
      <c r="I848" s="1" t="s">
        <v>200</v>
      </c>
      <c r="J848" s="1">
        <v>195</v>
      </c>
    </row>
    <row r="849" spans="8:10">
      <c r="H849" s="1">
        <v>2012</v>
      </c>
      <c r="I849" s="1" t="s">
        <v>201</v>
      </c>
      <c r="J849" s="1">
        <v>183</v>
      </c>
    </row>
    <row r="850" spans="8:10">
      <c r="H850" s="1">
        <v>2012</v>
      </c>
      <c r="I850" s="1" t="s">
        <v>150</v>
      </c>
      <c r="J850" s="1">
        <v>174</v>
      </c>
    </row>
    <row r="851" spans="8:10">
      <c r="H851" s="1">
        <v>2012</v>
      </c>
      <c r="I851" s="1" t="s">
        <v>148</v>
      </c>
      <c r="J851" s="1">
        <v>172</v>
      </c>
    </row>
    <row r="852" spans="8:10">
      <c r="H852" s="1">
        <v>2012</v>
      </c>
      <c r="I852" s="1" t="s">
        <v>179</v>
      </c>
      <c r="J852" s="1">
        <v>136</v>
      </c>
    </row>
    <row r="853" spans="8:10">
      <c r="H853" s="1">
        <v>2012</v>
      </c>
      <c r="I853" s="1" t="s">
        <v>190</v>
      </c>
      <c r="J853" s="1">
        <v>128</v>
      </c>
    </row>
    <row r="854" spans="8:10">
      <c r="H854" s="1">
        <v>2012</v>
      </c>
      <c r="I854" s="1" t="s">
        <v>135</v>
      </c>
      <c r="J854" s="1">
        <v>128</v>
      </c>
    </row>
    <row r="855" spans="8:10">
      <c r="H855" s="1">
        <v>2012</v>
      </c>
      <c r="I855" s="1" t="s">
        <v>131</v>
      </c>
      <c r="J855" s="1">
        <v>110</v>
      </c>
    </row>
    <row r="856" spans="8:10">
      <c r="H856" s="1">
        <v>2012</v>
      </c>
      <c r="I856" s="1" t="s">
        <v>152</v>
      </c>
      <c r="J856" s="1">
        <v>101</v>
      </c>
    </row>
    <row r="857" spans="8:10">
      <c r="H857" s="1">
        <v>2012</v>
      </c>
      <c r="I857" s="1" t="s">
        <v>139</v>
      </c>
      <c r="J857" s="1">
        <v>96</v>
      </c>
    </row>
    <row r="858" spans="8:10">
      <c r="H858" s="1">
        <v>2012</v>
      </c>
      <c r="I858" s="1" t="s">
        <v>151</v>
      </c>
      <c r="J858" s="1">
        <v>95</v>
      </c>
    </row>
    <row r="859" spans="8:10">
      <c r="H859" s="1">
        <v>2012</v>
      </c>
      <c r="I859" s="1" t="s">
        <v>173</v>
      </c>
      <c r="J859" s="1">
        <v>72</v>
      </c>
    </row>
    <row r="860" spans="8:10">
      <c r="H860" s="1">
        <v>2012</v>
      </c>
      <c r="I860" s="1" t="s">
        <v>133</v>
      </c>
      <c r="J860" s="1">
        <v>32</v>
      </c>
    </row>
    <row r="861" spans="8:10">
      <c r="H861" s="1">
        <v>2014</v>
      </c>
      <c r="I861" s="1" t="s">
        <v>171</v>
      </c>
      <c r="J861" s="1">
        <v>442</v>
      </c>
    </row>
    <row r="862" spans="8:10">
      <c r="H862" s="1">
        <v>2014</v>
      </c>
      <c r="I862" s="1" t="s">
        <v>158</v>
      </c>
      <c r="J862" s="1">
        <v>314</v>
      </c>
    </row>
    <row r="863" spans="8:10">
      <c r="H863" s="1">
        <v>2014</v>
      </c>
      <c r="I863" s="1" t="s">
        <v>167</v>
      </c>
      <c r="J863" s="1">
        <v>298</v>
      </c>
    </row>
    <row r="864" spans="8:10">
      <c r="H864" s="1">
        <v>2014</v>
      </c>
      <c r="I864" s="1" t="s">
        <v>144</v>
      </c>
      <c r="J864" s="1">
        <v>261</v>
      </c>
    </row>
    <row r="865" spans="8:10">
      <c r="H865" s="1">
        <v>2014</v>
      </c>
      <c r="I865" s="1" t="s">
        <v>137</v>
      </c>
      <c r="J865" s="1">
        <v>237</v>
      </c>
    </row>
    <row r="866" spans="8:10">
      <c r="H866" s="1">
        <v>2014</v>
      </c>
      <c r="I866" s="1" t="s">
        <v>156</v>
      </c>
      <c r="J866" s="1">
        <v>204</v>
      </c>
    </row>
    <row r="867" spans="8:10">
      <c r="H867" s="1">
        <v>2014</v>
      </c>
      <c r="I867" s="1" t="s">
        <v>164</v>
      </c>
      <c r="J867" s="1">
        <v>177</v>
      </c>
    </row>
    <row r="868" spans="8:10">
      <c r="H868" s="1">
        <v>2014</v>
      </c>
      <c r="I868" s="1" t="s">
        <v>170</v>
      </c>
      <c r="J868" s="1">
        <v>172</v>
      </c>
    </row>
    <row r="869" spans="8:10">
      <c r="H869" s="1">
        <v>2014</v>
      </c>
      <c r="I869" s="1" t="s">
        <v>174</v>
      </c>
      <c r="J869" s="1">
        <v>148</v>
      </c>
    </row>
    <row r="870" spans="8:10">
      <c r="H870" s="1">
        <v>2014</v>
      </c>
      <c r="I870" s="1" t="s">
        <v>154</v>
      </c>
      <c r="J870" s="1">
        <v>108</v>
      </c>
    </row>
    <row r="871" spans="8:10">
      <c r="H871" s="1">
        <v>2014</v>
      </c>
      <c r="I871" s="1" t="s">
        <v>146</v>
      </c>
      <c r="J871" s="1">
        <v>106</v>
      </c>
    </row>
    <row r="872" spans="8:10">
      <c r="H872" s="1">
        <v>2014</v>
      </c>
      <c r="I872" s="1" t="s">
        <v>169</v>
      </c>
      <c r="J872" s="1">
        <v>96</v>
      </c>
    </row>
    <row r="873" spans="8:10">
      <c r="H873" s="1">
        <v>2014</v>
      </c>
      <c r="I873" s="1" t="s">
        <v>165</v>
      </c>
      <c r="J873" s="1">
        <v>87</v>
      </c>
    </row>
    <row r="874" spans="8:10">
      <c r="H874" s="1">
        <v>2014</v>
      </c>
      <c r="I874" s="1" t="s">
        <v>166</v>
      </c>
      <c r="J874" s="1">
        <v>54</v>
      </c>
    </row>
    <row r="875" spans="8:10">
      <c r="H875" s="1">
        <v>2014</v>
      </c>
      <c r="I875" s="1" t="s">
        <v>162</v>
      </c>
      <c r="J875" s="1">
        <v>46</v>
      </c>
    </row>
    <row r="876" spans="8:10">
      <c r="H876" s="1">
        <v>2016</v>
      </c>
      <c r="I876" s="1" t="s">
        <v>198</v>
      </c>
      <c r="J876" s="1">
        <v>2265</v>
      </c>
    </row>
    <row r="877" spans="8:10">
      <c r="H877" s="1">
        <v>2016</v>
      </c>
      <c r="I877" s="1" t="s">
        <v>199</v>
      </c>
      <c r="J877" s="1">
        <v>941</v>
      </c>
    </row>
    <row r="878" spans="8:10">
      <c r="H878" s="1">
        <v>2016</v>
      </c>
      <c r="I878" s="1" t="s">
        <v>185</v>
      </c>
      <c r="J878" s="1">
        <v>546</v>
      </c>
    </row>
    <row r="879" spans="8:10">
      <c r="H879" s="1">
        <v>2016</v>
      </c>
      <c r="I879" s="1" t="s">
        <v>196</v>
      </c>
      <c r="J879" s="1">
        <v>513</v>
      </c>
    </row>
    <row r="880" spans="8:10">
      <c r="H880" s="1">
        <v>2016</v>
      </c>
      <c r="I880" s="1" t="s">
        <v>184</v>
      </c>
      <c r="J880" s="1">
        <v>473</v>
      </c>
    </row>
    <row r="881" spans="8:10">
      <c r="H881" s="1">
        <v>2016</v>
      </c>
      <c r="I881" s="1" t="s">
        <v>175</v>
      </c>
      <c r="J881" s="1">
        <v>390</v>
      </c>
    </row>
    <row r="882" spans="8:10">
      <c r="H882" s="1">
        <v>2016</v>
      </c>
      <c r="I882" s="1" t="s">
        <v>197</v>
      </c>
      <c r="J882" s="1">
        <v>390</v>
      </c>
    </row>
    <row r="883" spans="8:10">
      <c r="H883" s="1">
        <v>2016</v>
      </c>
      <c r="I883" s="1" t="s">
        <v>153</v>
      </c>
      <c r="J883" s="1">
        <v>389</v>
      </c>
    </row>
    <row r="884" spans="8:10">
      <c r="H884" s="1">
        <v>2016</v>
      </c>
      <c r="I884" s="1" t="s">
        <v>187</v>
      </c>
      <c r="J884" s="1">
        <v>380</v>
      </c>
    </row>
    <row r="885" spans="8:10">
      <c r="H885" s="1">
        <v>2016</v>
      </c>
      <c r="I885" s="1" t="s">
        <v>161</v>
      </c>
      <c r="J885" s="1">
        <v>353</v>
      </c>
    </row>
    <row r="886" spans="8:10">
      <c r="H886" s="1">
        <v>2016</v>
      </c>
      <c r="I886" s="1" t="s">
        <v>204</v>
      </c>
      <c r="J886" s="1">
        <v>346</v>
      </c>
    </row>
    <row r="887" spans="8:10">
      <c r="H887" s="1">
        <v>2016</v>
      </c>
      <c r="I887" s="1" t="s">
        <v>160</v>
      </c>
      <c r="J887" s="1">
        <v>330</v>
      </c>
    </row>
    <row r="888" spans="8:10">
      <c r="H888" s="1">
        <v>2016</v>
      </c>
      <c r="I888" s="1" t="s">
        <v>129</v>
      </c>
      <c r="J888" s="1">
        <v>299</v>
      </c>
    </row>
    <row r="889" spans="8:10">
      <c r="H889" s="1">
        <v>2016</v>
      </c>
      <c r="I889" s="1" t="s">
        <v>181</v>
      </c>
      <c r="J889" s="1">
        <v>283</v>
      </c>
    </row>
    <row r="890" spans="8:10">
      <c r="H890" s="1">
        <v>2016</v>
      </c>
      <c r="I890" s="1" t="s">
        <v>155</v>
      </c>
      <c r="J890" s="1">
        <v>283</v>
      </c>
    </row>
    <row r="891" spans="8:10">
      <c r="H891" s="1">
        <v>2016</v>
      </c>
      <c r="I891" s="1" t="s">
        <v>159</v>
      </c>
      <c r="J891" s="1">
        <v>280</v>
      </c>
    </row>
    <row r="892" spans="8:10">
      <c r="H892" s="1">
        <v>2016</v>
      </c>
      <c r="I892" s="1" t="s">
        <v>195</v>
      </c>
      <c r="J892" s="1">
        <v>258</v>
      </c>
    </row>
    <row r="893" spans="8:10">
      <c r="H893" s="1">
        <v>2016</v>
      </c>
      <c r="I893" s="1" t="s">
        <v>203</v>
      </c>
      <c r="J893" s="1">
        <v>255</v>
      </c>
    </row>
    <row r="894" spans="8:10">
      <c r="H894" s="1">
        <v>2016</v>
      </c>
      <c r="I894" s="1" t="s">
        <v>202</v>
      </c>
      <c r="J894" s="1">
        <v>245</v>
      </c>
    </row>
    <row r="895" spans="8:10">
      <c r="H895" s="1">
        <v>2016</v>
      </c>
      <c r="I895" s="1" t="s">
        <v>194</v>
      </c>
      <c r="J895" s="1">
        <v>200</v>
      </c>
    </row>
    <row r="896" spans="8:10">
      <c r="H896" s="1">
        <v>2016</v>
      </c>
      <c r="I896" s="1" t="s">
        <v>200</v>
      </c>
      <c r="J896" s="1">
        <v>196</v>
      </c>
    </row>
    <row r="897" spans="8:10">
      <c r="H897" s="1">
        <v>2016</v>
      </c>
      <c r="I897" s="1" t="s">
        <v>201</v>
      </c>
      <c r="J897" s="1">
        <v>196</v>
      </c>
    </row>
    <row r="898" spans="8:10">
      <c r="H898" s="1">
        <v>2016</v>
      </c>
      <c r="I898" s="1" t="s">
        <v>148</v>
      </c>
      <c r="J898" s="1">
        <v>172</v>
      </c>
    </row>
    <row r="899" spans="8:10">
      <c r="H899" s="1">
        <v>2016</v>
      </c>
      <c r="I899" s="1" t="s">
        <v>150</v>
      </c>
      <c r="J899" s="1">
        <v>172</v>
      </c>
    </row>
    <row r="900" spans="8:10">
      <c r="H900" s="1">
        <v>2016</v>
      </c>
      <c r="I900" s="1" t="s">
        <v>179</v>
      </c>
      <c r="J900" s="1">
        <v>136</v>
      </c>
    </row>
    <row r="901" spans="8:10">
      <c r="H901" s="1">
        <v>2016</v>
      </c>
      <c r="I901" s="1" t="s">
        <v>190</v>
      </c>
      <c r="J901" s="1">
        <v>128</v>
      </c>
    </row>
    <row r="902" spans="8:10">
      <c r="H902" s="1">
        <v>2016</v>
      </c>
      <c r="I902" s="1" t="s">
        <v>135</v>
      </c>
      <c r="J902" s="1">
        <v>126</v>
      </c>
    </row>
    <row r="903" spans="8:10">
      <c r="H903" s="1">
        <v>2016</v>
      </c>
      <c r="I903" s="1" t="s">
        <v>191</v>
      </c>
      <c r="J903" s="1">
        <v>119</v>
      </c>
    </row>
    <row r="904" spans="8:10">
      <c r="H904" s="1">
        <v>2016</v>
      </c>
      <c r="I904" s="1" t="s">
        <v>131</v>
      </c>
      <c r="J904" s="1">
        <v>110</v>
      </c>
    </row>
    <row r="905" spans="8:10">
      <c r="H905" s="1">
        <v>2016</v>
      </c>
      <c r="I905" s="1" t="s">
        <v>152</v>
      </c>
      <c r="J905" s="1">
        <v>102</v>
      </c>
    </row>
    <row r="906" spans="8:10">
      <c r="H906" s="1">
        <v>2016</v>
      </c>
      <c r="I906" s="1" t="s">
        <v>139</v>
      </c>
      <c r="J906" s="1">
        <v>96</v>
      </c>
    </row>
    <row r="907" spans="8:10">
      <c r="H907" s="1">
        <v>2016</v>
      </c>
      <c r="I907" s="1" t="s">
        <v>151</v>
      </c>
      <c r="J907" s="1">
        <v>96</v>
      </c>
    </row>
    <row r="908" spans="8:10">
      <c r="H908" s="1">
        <v>2016</v>
      </c>
      <c r="I908" s="1" t="s">
        <v>173</v>
      </c>
      <c r="J908" s="1">
        <v>72</v>
      </c>
    </row>
    <row r="909" spans="8:10">
      <c r="H909" s="1">
        <v>2016</v>
      </c>
      <c r="I909" s="1" t="s">
        <v>133</v>
      </c>
      <c r="J909" s="1">
        <v>32</v>
      </c>
    </row>
  </sheetData>
  <mergeCells count="2">
    <mergeCell ref="A1:H1"/>
    <mergeCell ref="K3:L3"/>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F5D92-7E7E-41D7-9572-F43438959949}">
  <dimension ref="A1:N69"/>
  <sheetViews>
    <sheetView workbookViewId="0">
      <selection activeCell="N7" sqref="N7"/>
    </sheetView>
  </sheetViews>
  <sheetFormatPr defaultRowHeight="15"/>
  <cols>
    <col min="6" max="7" width="17.140625" customWidth="1"/>
    <col min="8" max="8" width="28.5703125" customWidth="1"/>
    <col min="9" max="9" width="16.140625" style="4" customWidth="1"/>
    <col min="10" max="10" width="18" style="4" customWidth="1"/>
    <col min="11" max="11" width="18.5703125" style="4" customWidth="1"/>
    <col min="12" max="12" width="17.7109375" customWidth="1"/>
  </cols>
  <sheetData>
    <row r="1" spans="1:14">
      <c r="A1" s="32" t="s">
        <v>215</v>
      </c>
      <c r="B1" s="32"/>
      <c r="C1" s="32"/>
      <c r="D1" s="32"/>
      <c r="E1" s="32"/>
      <c r="F1" s="32"/>
      <c r="G1" s="32"/>
      <c r="H1" s="32"/>
      <c r="I1" s="32"/>
      <c r="J1"/>
      <c r="K1"/>
    </row>
    <row r="2" spans="1:14">
      <c r="I2"/>
      <c r="J2"/>
      <c r="K2"/>
    </row>
    <row r="3" spans="1:14">
      <c r="A3" s="3" t="s">
        <v>36</v>
      </c>
      <c r="B3" t="s">
        <v>57</v>
      </c>
      <c r="H3" s="3" t="s">
        <v>38</v>
      </c>
      <c r="I3" s="20" t="s">
        <v>126</v>
      </c>
      <c r="J3" s="20" t="s">
        <v>216</v>
      </c>
      <c r="K3" s="20" t="s">
        <v>217</v>
      </c>
      <c r="L3" s="20" t="s">
        <v>67</v>
      </c>
      <c r="M3" s="31" t="s">
        <v>42</v>
      </c>
      <c r="N3" s="31"/>
    </row>
    <row r="4" spans="1:14">
      <c r="B4" t="s">
        <v>206</v>
      </c>
      <c r="I4" s="1" t="s">
        <v>188</v>
      </c>
      <c r="J4" s="1">
        <v>1</v>
      </c>
      <c r="K4" s="1" t="s">
        <v>218</v>
      </c>
      <c r="L4" s="1">
        <v>8</v>
      </c>
    </row>
    <row r="5" spans="1:14">
      <c r="B5" t="s">
        <v>219</v>
      </c>
      <c r="I5" s="1" t="s">
        <v>177</v>
      </c>
      <c r="J5" s="1">
        <v>1</v>
      </c>
      <c r="K5" s="1" t="s">
        <v>220</v>
      </c>
      <c r="L5" s="1">
        <v>7</v>
      </c>
    </row>
    <row r="6" spans="1:14">
      <c r="B6" t="s">
        <v>221</v>
      </c>
      <c r="I6" s="1" t="s">
        <v>180</v>
      </c>
      <c r="J6" s="1">
        <v>1</v>
      </c>
      <c r="K6" s="1" t="s">
        <v>222</v>
      </c>
      <c r="L6" s="1">
        <v>3</v>
      </c>
    </row>
    <row r="7" spans="1:14">
      <c r="B7" t="s">
        <v>207</v>
      </c>
      <c r="I7" s="1" t="s">
        <v>189</v>
      </c>
      <c r="J7" s="1">
        <v>1</v>
      </c>
      <c r="K7" s="1" t="s">
        <v>223</v>
      </c>
      <c r="L7" s="1">
        <v>2</v>
      </c>
    </row>
    <row r="8" spans="1:14">
      <c r="B8" t="s">
        <v>208</v>
      </c>
      <c r="I8" s="1" t="s">
        <v>157</v>
      </c>
      <c r="J8" s="1">
        <v>1</v>
      </c>
      <c r="K8" s="1" t="s">
        <v>224</v>
      </c>
      <c r="L8" s="1">
        <v>1</v>
      </c>
    </row>
    <row r="9" spans="1:14">
      <c r="B9" t="s">
        <v>225</v>
      </c>
      <c r="L9" s="4"/>
    </row>
    <row r="10" spans="1:14">
      <c r="B10" t="s">
        <v>226</v>
      </c>
      <c r="L10" s="4"/>
    </row>
    <row r="11" spans="1:14">
      <c r="B11" t="s">
        <v>227</v>
      </c>
      <c r="L11" s="4"/>
    </row>
    <row r="12" spans="1:14">
      <c r="B12" t="s">
        <v>228</v>
      </c>
      <c r="L12" s="4"/>
    </row>
    <row r="13" spans="1:14">
      <c r="B13" t="s">
        <v>229</v>
      </c>
      <c r="L13" s="4"/>
    </row>
    <row r="14" spans="1:14">
      <c r="L14" s="4"/>
    </row>
    <row r="15" spans="1:14">
      <c r="L15" s="4"/>
    </row>
    <row r="16" spans="1:14">
      <c r="L16" s="4"/>
    </row>
    <row r="17" spans="12:12">
      <c r="L17" s="4"/>
    </row>
    <row r="18" spans="12:12">
      <c r="L18" s="4"/>
    </row>
    <row r="19" spans="12:12">
      <c r="L19" s="4"/>
    </row>
    <row r="20" spans="12:12">
      <c r="L20" s="4"/>
    </row>
    <row r="21" spans="12:12">
      <c r="L21" s="4"/>
    </row>
    <row r="22" spans="12:12">
      <c r="L22" s="4"/>
    </row>
    <row r="23" spans="12:12">
      <c r="L23" s="4"/>
    </row>
    <row r="24" spans="12:12">
      <c r="L24" s="4"/>
    </row>
    <row r="25" spans="12:12">
      <c r="L25" s="4"/>
    </row>
    <row r="26" spans="12:12">
      <c r="L26" s="4"/>
    </row>
    <row r="27" spans="12:12">
      <c r="L27" s="4"/>
    </row>
    <row r="28" spans="12:12">
      <c r="L28" s="4"/>
    </row>
    <row r="29" spans="12:12">
      <c r="L29" s="4"/>
    </row>
    <row r="30" spans="12:12">
      <c r="L30" s="4"/>
    </row>
    <row r="31" spans="12:12">
      <c r="L31" s="4"/>
    </row>
    <row r="32" spans="12:12">
      <c r="L32" s="4"/>
    </row>
    <row r="33" spans="12:12">
      <c r="L33" s="4"/>
    </row>
    <row r="34" spans="12:12">
      <c r="L34" s="4"/>
    </row>
    <row r="35" spans="12:12">
      <c r="L35" s="4"/>
    </row>
    <row r="36" spans="12:12">
      <c r="L36" s="4"/>
    </row>
    <row r="37" spans="12:12">
      <c r="L37" s="4"/>
    </row>
    <row r="38" spans="12:12">
      <c r="L38" s="4"/>
    </row>
    <row r="39" spans="12:12">
      <c r="L39" s="4"/>
    </row>
    <row r="40" spans="12:12">
      <c r="L40" s="4"/>
    </row>
    <row r="41" spans="12:12">
      <c r="L41" s="4"/>
    </row>
    <row r="42" spans="12:12">
      <c r="L42" s="4"/>
    </row>
    <row r="43" spans="12:12">
      <c r="L43" s="4"/>
    </row>
    <row r="44" spans="12:12">
      <c r="L44" s="4"/>
    </row>
    <row r="45" spans="12:12">
      <c r="L45" s="4"/>
    </row>
    <row r="46" spans="12:12">
      <c r="L46" s="4"/>
    </row>
    <row r="47" spans="12:12">
      <c r="L47" s="4"/>
    </row>
    <row r="48" spans="12:12">
      <c r="L48" s="4"/>
    </row>
    <row r="49" spans="12:12">
      <c r="L49" s="4"/>
    </row>
    <row r="50" spans="12:12">
      <c r="L50" s="4"/>
    </row>
    <row r="51" spans="12:12">
      <c r="L51" s="4"/>
    </row>
    <row r="52" spans="12:12">
      <c r="L52" s="4"/>
    </row>
    <row r="53" spans="12:12">
      <c r="L53" s="4"/>
    </row>
    <row r="54" spans="12:12">
      <c r="L54" s="4"/>
    </row>
    <row r="55" spans="12:12">
      <c r="L55" s="4"/>
    </row>
    <row r="56" spans="12:12">
      <c r="L56" s="4"/>
    </row>
    <row r="57" spans="12:12">
      <c r="L57" s="4"/>
    </row>
    <row r="58" spans="12:12">
      <c r="L58" s="4"/>
    </row>
    <row r="59" spans="12:12">
      <c r="L59" s="4"/>
    </row>
    <row r="60" spans="12:12">
      <c r="L60" s="4"/>
    </row>
    <row r="61" spans="12:12">
      <c r="L61" s="4"/>
    </row>
    <row r="62" spans="12:12">
      <c r="L62" s="4"/>
    </row>
    <row r="63" spans="12:12">
      <c r="L63" s="4"/>
    </row>
    <row r="64" spans="12:12">
      <c r="L64" s="4"/>
    </row>
    <row r="65" spans="12:12">
      <c r="L65" s="4"/>
    </row>
    <row r="66" spans="12:12">
      <c r="L66" s="4"/>
    </row>
    <row r="67" spans="12:12">
      <c r="L67" s="4"/>
    </row>
    <row r="68" spans="12:12">
      <c r="L68" s="4"/>
    </row>
    <row r="69" spans="12:12">
      <c r="L69" s="4"/>
    </row>
  </sheetData>
  <mergeCells count="2">
    <mergeCell ref="A1:I1"/>
    <mergeCell ref="M3:N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028CE-DFA4-47B3-86BF-57190BF0200B}">
  <dimension ref="A1:O69"/>
  <sheetViews>
    <sheetView workbookViewId="0">
      <selection activeCell="T3" sqref="T3"/>
    </sheetView>
  </sheetViews>
  <sheetFormatPr defaultRowHeight="15"/>
  <cols>
    <col min="6" max="6" width="17.140625" customWidth="1"/>
    <col min="8" max="8" width="15.85546875" customWidth="1"/>
    <col min="9" max="9" width="13.7109375" customWidth="1"/>
    <col min="10" max="10" width="16.42578125" customWidth="1"/>
    <col min="11" max="13" width="14.85546875" customWidth="1"/>
    <col min="20" max="21" width="11.28515625" customWidth="1"/>
    <col min="22" max="22" width="24.140625" bestFit="1" customWidth="1"/>
    <col min="23" max="23" width="20.5703125" bestFit="1" customWidth="1"/>
    <col min="24" max="24" width="22.85546875" bestFit="1" customWidth="1"/>
    <col min="25" max="25" width="20" bestFit="1" customWidth="1"/>
  </cols>
  <sheetData>
    <row r="1" spans="1:15">
      <c r="A1" s="32" t="s">
        <v>230</v>
      </c>
      <c r="B1" s="32"/>
      <c r="C1" s="32"/>
      <c r="D1" s="32"/>
      <c r="E1" s="32"/>
      <c r="F1" s="32"/>
      <c r="G1" s="32"/>
      <c r="H1" s="32"/>
    </row>
    <row r="3" spans="1:15">
      <c r="A3" s="3" t="s">
        <v>36</v>
      </c>
      <c r="B3" t="s">
        <v>57</v>
      </c>
      <c r="G3" s="3" t="s">
        <v>38</v>
      </c>
      <c r="H3" s="20" t="s">
        <v>126</v>
      </c>
      <c r="I3" s="20" t="s">
        <v>231</v>
      </c>
      <c r="J3" s="20" t="s">
        <v>232</v>
      </c>
      <c r="K3" s="20" t="s">
        <v>233</v>
      </c>
      <c r="L3" s="8"/>
      <c r="M3" s="18" t="s">
        <v>234</v>
      </c>
      <c r="N3" s="31" t="s">
        <v>42</v>
      </c>
      <c r="O3" s="31"/>
    </row>
    <row r="4" spans="1:15">
      <c r="B4" t="s">
        <v>235</v>
      </c>
      <c r="H4" t="s">
        <v>198</v>
      </c>
      <c r="I4">
        <v>83</v>
      </c>
      <c r="J4">
        <v>27</v>
      </c>
      <c r="K4">
        <v>0</v>
      </c>
      <c r="M4">
        <f>SUM(I4:K4)</f>
        <v>110</v>
      </c>
    </row>
    <row r="5" spans="1:15">
      <c r="H5" t="s">
        <v>197</v>
      </c>
      <c r="I5">
        <v>75</v>
      </c>
      <c r="J5">
        <v>7</v>
      </c>
      <c r="K5">
        <v>8</v>
      </c>
      <c r="M5">
        <f>SUM(I5:K5)</f>
        <v>90</v>
      </c>
    </row>
    <row r="6" spans="1:15">
      <c r="B6" t="s">
        <v>236</v>
      </c>
      <c r="H6" t="s">
        <v>199</v>
      </c>
      <c r="I6">
        <v>54</v>
      </c>
      <c r="J6">
        <v>18</v>
      </c>
      <c r="K6">
        <v>0</v>
      </c>
      <c r="M6">
        <f>SUM(I6:K6)</f>
        <v>72</v>
      </c>
    </row>
    <row r="7" spans="1:15">
      <c r="B7" t="s">
        <v>237</v>
      </c>
      <c r="H7" t="s">
        <v>196</v>
      </c>
      <c r="I7">
        <v>44</v>
      </c>
      <c r="J7">
        <v>12</v>
      </c>
      <c r="K7">
        <v>0</v>
      </c>
      <c r="M7">
        <f>SUM(I7:K7)</f>
        <v>56</v>
      </c>
    </row>
    <row r="8" spans="1:15">
      <c r="B8" t="s">
        <v>238</v>
      </c>
      <c r="H8" t="s">
        <v>187</v>
      </c>
      <c r="I8">
        <v>11</v>
      </c>
      <c r="J8">
        <v>5</v>
      </c>
      <c r="K8">
        <v>26</v>
      </c>
      <c r="M8">
        <f>SUM(I8:K8)</f>
        <v>42</v>
      </c>
    </row>
    <row r="9" spans="1:15">
      <c r="B9" t="s">
        <v>239</v>
      </c>
      <c r="H9" t="s">
        <v>204</v>
      </c>
      <c r="I9">
        <v>30</v>
      </c>
      <c r="J9">
        <v>6</v>
      </c>
      <c r="K9">
        <v>0</v>
      </c>
      <c r="M9">
        <f>SUM(I9:K9)</f>
        <v>36</v>
      </c>
    </row>
    <row r="10" spans="1:15">
      <c r="H10" t="s">
        <v>167</v>
      </c>
      <c r="I10">
        <v>23</v>
      </c>
      <c r="J10">
        <v>12</v>
      </c>
      <c r="K10">
        <v>0</v>
      </c>
      <c r="M10">
        <f>SUM(I10:K10)</f>
        <v>35</v>
      </c>
    </row>
    <row r="11" spans="1:15">
      <c r="B11" t="s">
        <v>236</v>
      </c>
      <c r="H11" t="s">
        <v>200</v>
      </c>
      <c r="I11">
        <v>27</v>
      </c>
      <c r="J11">
        <v>7</v>
      </c>
      <c r="K11">
        <v>0</v>
      </c>
      <c r="M11">
        <f>SUM(I11:K11)</f>
        <v>34</v>
      </c>
    </row>
    <row r="12" spans="1:15">
      <c r="B12" t="s">
        <v>240</v>
      </c>
      <c r="H12" t="s">
        <v>160</v>
      </c>
      <c r="I12">
        <v>27</v>
      </c>
      <c r="J12">
        <v>5</v>
      </c>
      <c r="K12">
        <v>0</v>
      </c>
      <c r="M12">
        <f>SUM(I12:K12)</f>
        <v>32</v>
      </c>
    </row>
    <row r="13" spans="1:15">
      <c r="B13" t="s">
        <v>238</v>
      </c>
      <c r="H13" t="s">
        <v>185</v>
      </c>
      <c r="I13">
        <v>23</v>
      </c>
      <c r="J13">
        <v>9</v>
      </c>
      <c r="K13">
        <v>0</v>
      </c>
      <c r="M13">
        <f>SUM(I13:K13)</f>
        <v>32</v>
      </c>
    </row>
    <row r="14" spans="1:15">
      <c r="B14" t="s">
        <v>241</v>
      </c>
      <c r="H14" t="s">
        <v>190</v>
      </c>
      <c r="I14">
        <v>25</v>
      </c>
      <c r="J14">
        <v>5</v>
      </c>
      <c r="K14">
        <v>0</v>
      </c>
      <c r="M14">
        <f>SUM(I14:K14)</f>
        <v>30</v>
      </c>
    </row>
    <row r="15" spans="1:15">
      <c r="H15" t="s">
        <v>172</v>
      </c>
      <c r="I15">
        <v>0</v>
      </c>
      <c r="J15">
        <v>0</v>
      </c>
      <c r="K15">
        <v>29</v>
      </c>
      <c r="M15">
        <f>SUM(I15:K15)</f>
        <v>29</v>
      </c>
    </row>
    <row r="16" spans="1:15">
      <c r="B16" t="s">
        <v>236</v>
      </c>
      <c r="H16" t="s">
        <v>203</v>
      </c>
      <c r="I16">
        <v>21</v>
      </c>
      <c r="J16">
        <v>7</v>
      </c>
      <c r="K16">
        <v>0</v>
      </c>
      <c r="M16">
        <f>SUM(I16:K16)</f>
        <v>28</v>
      </c>
    </row>
    <row r="17" spans="2:13">
      <c r="B17" t="s">
        <v>242</v>
      </c>
      <c r="H17" t="s">
        <v>202</v>
      </c>
      <c r="I17">
        <v>18</v>
      </c>
      <c r="J17">
        <v>6</v>
      </c>
      <c r="K17">
        <v>0</v>
      </c>
      <c r="M17">
        <f>SUM(I17:K17)</f>
        <v>24</v>
      </c>
    </row>
    <row r="18" spans="2:13">
      <c r="B18" t="s">
        <v>238</v>
      </c>
      <c r="H18" t="s">
        <v>153</v>
      </c>
      <c r="I18">
        <v>15</v>
      </c>
      <c r="J18">
        <v>7</v>
      </c>
      <c r="K18">
        <v>0</v>
      </c>
      <c r="M18">
        <f>SUM(I18:K18)</f>
        <v>22</v>
      </c>
    </row>
    <row r="19" spans="2:13">
      <c r="B19" t="s">
        <v>243</v>
      </c>
      <c r="H19" t="s">
        <v>156</v>
      </c>
      <c r="I19">
        <v>12</v>
      </c>
      <c r="J19">
        <v>7</v>
      </c>
      <c r="K19">
        <v>1</v>
      </c>
      <c r="M19">
        <f>SUM(I19:K19)</f>
        <v>20</v>
      </c>
    </row>
    <row r="20" spans="2:13">
      <c r="H20" t="s">
        <v>164</v>
      </c>
      <c r="I20">
        <v>13</v>
      </c>
      <c r="J20">
        <v>6</v>
      </c>
      <c r="K20">
        <v>0</v>
      </c>
      <c r="M20">
        <f>SUM(I20:K20)</f>
        <v>19</v>
      </c>
    </row>
    <row r="21" spans="2:13">
      <c r="B21" t="s">
        <v>244</v>
      </c>
      <c r="H21" t="s">
        <v>181</v>
      </c>
      <c r="I21">
        <v>15</v>
      </c>
      <c r="J21">
        <v>3</v>
      </c>
      <c r="K21">
        <v>0</v>
      </c>
      <c r="M21">
        <f>SUM(I21:K21)</f>
        <v>18</v>
      </c>
    </row>
    <row r="22" spans="2:13">
      <c r="B22" t="s">
        <v>245</v>
      </c>
      <c r="H22" t="s">
        <v>194</v>
      </c>
      <c r="I22">
        <v>8</v>
      </c>
      <c r="J22">
        <v>0</v>
      </c>
      <c r="K22">
        <v>10</v>
      </c>
      <c r="M22">
        <f>SUM(I22:K22)</f>
        <v>18</v>
      </c>
    </row>
    <row r="23" spans="2:13">
      <c r="B23" t="s">
        <v>246</v>
      </c>
      <c r="H23" t="s">
        <v>137</v>
      </c>
      <c r="I23">
        <v>12</v>
      </c>
      <c r="J23">
        <v>6</v>
      </c>
      <c r="K23">
        <v>0</v>
      </c>
      <c r="M23">
        <f>SUM(I23:K23)</f>
        <v>18</v>
      </c>
    </row>
    <row r="24" spans="2:13">
      <c r="B24" t="s">
        <v>247</v>
      </c>
      <c r="H24" t="s">
        <v>158</v>
      </c>
      <c r="I24">
        <v>10</v>
      </c>
      <c r="J24">
        <v>5</v>
      </c>
      <c r="K24">
        <v>0</v>
      </c>
      <c r="M24">
        <f>SUM(I24:K24)</f>
        <v>15</v>
      </c>
    </row>
    <row r="25" spans="2:13">
      <c r="B25" t="s">
        <v>248</v>
      </c>
      <c r="H25" t="s">
        <v>179</v>
      </c>
      <c r="I25">
        <v>10</v>
      </c>
      <c r="J25">
        <v>5</v>
      </c>
      <c r="K25">
        <v>0</v>
      </c>
      <c r="M25">
        <f>SUM(I25:K25)</f>
        <v>15</v>
      </c>
    </row>
    <row r="26" spans="2:13">
      <c r="H26" t="s">
        <v>144</v>
      </c>
      <c r="I26">
        <v>10</v>
      </c>
      <c r="J26">
        <v>5</v>
      </c>
      <c r="K26">
        <v>0</v>
      </c>
      <c r="M26">
        <f>SUM(I26:K26)</f>
        <v>15</v>
      </c>
    </row>
    <row r="27" spans="2:13">
      <c r="H27" t="s">
        <v>146</v>
      </c>
      <c r="I27">
        <v>8</v>
      </c>
      <c r="J27">
        <v>4</v>
      </c>
      <c r="K27">
        <v>0</v>
      </c>
      <c r="M27">
        <f>SUM(I27:K27)</f>
        <v>12</v>
      </c>
    </row>
    <row r="28" spans="2:13">
      <c r="H28" t="s">
        <v>135</v>
      </c>
      <c r="I28">
        <v>8</v>
      </c>
      <c r="J28">
        <v>4</v>
      </c>
      <c r="K28">
        <v>0</v>
      </c>
      <c r="M28">
        <f>SUM(I28:K28)</f>
        <v>12</v>
      </c>
    </row>
    <row r="29" spans="2:13">
      <c r="H29" t="s">
        <v>201</v>
      </c>
      <c r="I29">
        <v>7</v>
      </c>
      <c r="J29">
        <v>3</v>
      </c>
      <c r="K29">
        <v>2</v>
      </c>
      <c r="M29">
        <f>SUM(I29:K29)</f>
        <v>12</v>
      </c>
    </row>
    <row r="30" spans="2:13">
      <c r="H30" t="s">
        <v>150</v>
      </c>
      <c r="I30">
        <v>6</v>
      </c>
      <c r="J30">
        <v>3</v>
      </c>
      <c r="K30">
        <v>0</v>
      </c>
      <c r="M30">
        <f>SUM(I30:K30)</f>
        <v>9</v>
      </c>
    </row>
    <row r="31" spans="2:13">
      <c r="H31" t="s">
        <v>148</v>
      </c>
      <c r="I31">
        <v>4</v>
      </c>
      <c r="J31">
        <v>2</v>
      </c>
      <c r="K31">
        <v>1</v>
      </c>
      <c r="M31">
        <f>SUM(I31:K31)</f>
        <v>7</v>
      </c>
    </row>
    <row r="32" spans="2:13">
      <c r="H32" t="s">
        <v>174</v>
      </c>
      <c r="I32">
        <v>3</v>
      </c>
      <c r="J32">
        <v>1</v>
      </c>
      <c r="K32">
        <v>3</v>
      </c>
      <c r="M32">
        <f>SUM(I32:K32)</f>
        <v>7</v>
      </c>
    </row>
    <row r="33" spans="8:13">
      <c r="H33" t="s">
        <v>152</v>
      </c>
      <c r="I33">
        <v>3</v>
      </c>
      <c r="J33">
        <v>3</v>
      </c>
      <c r="K33">
        <v>0</v>
      </c>
      <c r="M33">
        <f>SUM(I33:K33)</f>
        <v>6</v>
      </c>
    </row>
    <row r="34" spans="8:13">
      <c r="H34" t="s">
        <v>170</v>
      </c>
      <c r="I34">
        <v>4</v>
      </c>
      <c r="J34">
        <v>1</v>
      </c>
      <c r="K34">
        <v>0</v>
      </c>
      <c r="M34">
        <f>SUM(I34:K34)</f>
        <v>5</v>
      </c>
    </row>
    <row r="35" spans="8:13">
      <c r="H35" t="s">
        <v>154</v>
      </c>
      <c r="I35">
        <v>2</v>
      </c>
      <c r="J35">
        <v>1</v>
      </c>
      <c r="K35">
        <v>2</v>
      </c>
      <c r="M35">
        <f>SUM(I35:K35)</f>
        <v>5</v>
      </c>
    </row>
    <row r="36" spans="8:13">
      <c r="H36" t="s">
        <v>166</v>
      </c>
      <c r="I36">
        <v>5</v>
      </c>
      <c r="J36">
        <v>0</v>
      </c>
      <c r="K36">
        <v>0</v>
      </c>
      <c r="M36">
        <f>SUM(I36:K36)</f>
        <v>5</v>
      </c>
    </row>
    <row r="37" spans="8:13">
      <c r="H37" t="s">
        <v>169</v>
      </c>
      <c r="I37">
        <v>4</v>
      </c>
      <c r="J37">
        <v>1</v>
      </c>
      <c r="K37">
        <v>0</v>
      </c>
      <c r="M37">
        <f>SUM(I37:K37)</f>
        <v>5</v>
      </c>
    </row>
    <row r="38" spans="8:13">
      <c r="H38" t="s">
        <v>191</v>
      </c>
      <c r="I38">
        <v>3</v>
      </c>
      <c r="J38">
        <v>1</v>
      </c>
      <c r="K38">
        <v>0</v>
      </c>
      <c r="M38">
        <f>SUM(I38:K38)</f>
        <v>4</v>
      </c>
    </row>
    <row r="39" spans="8:13">
      <c r="H39" t="s">
        <v>173</v>
      </c>
      <c r="I39">
        <v>3</v>
      </c>
      <c r="J39">
        <v>1</v>
      </c>
      <c r="K39">
        <v>0</v>
      </c>
      <c r="M39">
        <f>SUM(I39:K39)</f>
        <v>4</v>
      </c>
    </row>
    <row r="40" spans="8:13">
      <c r="H40" t="s">
        <v>151</v>
      </c>
      <c r="I40">
        <v>2</v>
      </c>
      <c r="J40">
        <v>2</v>
      </c>
      <c r="K40">
        <v>0</v>
      </c>
      <c r="M40">
        <f>SUM(I40:K40)</f>
        <v>4</v>
      </c>
    </row>
    <row r="41" spans="8:13">
      <c r="H41" t="s">
        <v>159</v>
      </c>
      <c r="I41">
        <v>2</v>
      </c>
      <c r="J41">
        <v>1</v>
      </c>
      <c r="K41">
        <v>0</v>
      </c>
      <c r="M41">
        <f>SUM(I41:K41)</f>
        <v>3</v>
      </c>
    </row>
    <row r="42" spans="8:13">
      <c r="H42" t="s">
        <v>139</v>
      </c>
      <c r="I42">
        <v>2</v>
      </c>
      <c r="J42">
        <v>1</v>
      </c>
      <c r="K42">
        <v>0</v>
      </c>
      <c r="M42">
        <f>SUM(I42:K42)</f>
        <v>3</v>
      </c>
    </row>
    <row r="43" spans="8:13">
      <c r="H43" t="s">
        <v>188</v>
      </c>
      <c r="I43">
        <v>0</v>
      </c>
      <c r="J43">
        <v>0</v>
      </c>
      <c r="K43">
        <v>3</v>
      </c>
      <c r="M43">
        <f>SUM(I43:K43)</f>
        <v>3</v>
      </c>
    </row>
    <row r="44" spans="8:13">
      <c r="H44" t="s">
        <v>165</v>
      </c>
      <c r="I44">
        <v>2</v>
      </c>
      <c r="J44">
        <v>1</v>
      </c>
      <c r="K44">
        <v>0</v>
      </c>
      <c r="M44">
        <f>SUM(I44:K44)</f>
        <v>3</v>
      </c>
    </row>
    <row r="45" spans="8:13">
      <c r="H45" t="s">
        <v>184</v>
      </c>
      <c r="I45">
        <v>2</v>
      </c>
      <c r="J45">
        <v>1</v>
      </c>
      <c r="K45">
        <v>0</v>
      </c>
      <c r="M45">
        <f>SUM(I45:K45)</f>
        <v>3</v>
      </c>
    </row>
    <row r="46" spans="8:13">
      <c r="H46" t="s">
        <v>161</v>
      </c>
      <c r="I46">
        <v>2</v>
      </c>
      <c r="J46">
        <v>1</v>
      </c>
      <c r="K46">
        <v>0</v>
      </c>
      <c r="M46">
        <f>SUM(I46:K46)</f>
        <v>3</v>
      </c>
    </row>
    <row r="47" spans="8:13">
      <c r="H47" t="s">
        <v>175</v>
      </c>
      <c r="I47">
        <v>2</v>
      </c>
      <c r="J47">
        <v>1</v>
      </c>
      <c r="K47">
        <v>0</v>
      </c>
      <c r="M47">
        <f>SUM(I47:K47)</f>
        <v>3</v>
      </c>
    </row>
    <row r="48" spans="8:13">
      <c r="H48" t="s">
        <v>171</v>
      </c>
      <c r="I48">
        <v>2</v>
      </c>
      <c r="J48">
        <v>1</v>
      </c>
      <c r="K48">
        <v>0</v>
      </c>
      <c r="M48">
        <f>SUM(I48:K48)</f>
        <v>3</v>
      </c>
    </row>
    <row r="49" spans="8:13">
      <c r="H49" t="s">
        <v>178</v>
      </c>
      <c r="I49">
        <v>0</v>
      </c>
      <c r="J49">
        <v>0</v>
      </c>
      <c r="K49">
        <v>3</v>
      </c>
      <c r="M49">
        <f>SUM(I49:K49)</f>
        <v>3</v>
      </c>
    </row>
    <row r="50" spans="8:13">
      <c r="H50" t="s">
        <v>129</v>
      </c>
      <c r="I50">
        <v>2</v>
      </c>
      <c r="J50">
        <v>1</v>
      </c>
      <c r="K50">
        <v>0</v>
      </c>
      <c r="M50">
        <f>SUM(I50:K50)</f>
        <v>3</v>
      </c>
    </row>
    <row r="51" spans="8:13">
      <c r="H51" t="s">
        <v>162</v>
      </c>
      <c r="I51">
        <v>2</v>
      </c>
      <c r="J51">
        <v>1</v>
      </c>
      <c r="K51">
        <v>0</v>
      </c>
      <c r="M51">
        <f>SUM(I51:K51)</f>
        <v>3</v>
      </c>
    </row>
    <row r="52" spans="8:13">
      <c r="H52" t="s">
        <v>133</v>
      </c>
      <c r="I52">
        <v>2</v>
      </c>
      <c r="J52">
        <v>1</v>
      </c>
      <c r="K52">
        <v>0</v>
      </c>
      <c r="M52">
        <f>SUM(I52:K52)</f>
        <v>3</v>
      </c>
    </row>
    <row r="53" spans="8:13">
      <c r="H53" t="s">
        <v>131</v>
      </c>
      <c r="I53">
        <v>2</v>
      </c>
      <c r="J53">
        <v>1</v>
      </c>
      <c r="K53">
        <v>0</v>
      </c>
      <c r="M53">
        <f>SUM(I53:K53)</f>
        <v>3</v>
      </c>
    </row>
    <row r="54" spans="8:13">
      <c r="H54" t="s">
        <v>155</v>
      </c>
      <c r="I54">
        <v>2</v>
      </c>
      <c r="J54">
        <v>1</v>
      </c>
      <c r="K54">
        <v>0</v>
      </c>
      <c r="M54">
        <f>SUM(I54:K54)</f>
        <v>3</v>
      </c>
    </row>
    <row r="55" spans="8:13">
      <c r="H55" t="s">
        <v>195</v>
      </c>
      <c r="I55">
        <v>2</v>
      </c>
      <c r="J55">
        <v>1</v>
      </c>
      <c r="K55">
        <v>0</v>
      </c>
      <c r="M55">
        <f>SUM(I55:K55)</f>
        <v>3</v>
      </c>
    </row>
    <row r="56" spans="8:13">
      <c r="H56" t="s">
        <v>177</v>
      </c>
      <c r="I56">
        <v>2</v>
      </c>
      <c r="J56">
        <v>0</v>
      </c>
      <c r="K56">
        <v>0</v>
      </c>
      <c r="M56">
        <f>SUM(I56:K56)</f>
        <v>2</v>
      </c>
    </row>
    <row r="57" spans="8:13">
      <c r="H57" t="s">
        <v>140</v>
      </c>
      <c r="I57">
        <v>1</v>
      </c>
      <c r="J57">
        <v>1</v>
      </c>
      <c r="K57">
        <v>0</v>
      </c>
      <c r="M57">
        <f>SUM(I57:K57)</f>
        <v>2</v>
      </c>
    </row>
    <row r="58" spans="8:13">
      <c r="H58" t="s">
        <v>157</v>
      </c>
      <c r="I58">
        <v>0</v>
      </c>
      <c r="J58">
        <v>0</v>
      </c>
      <c r="K58">
        <v>1</v>
      </c>
      <c r="M58">
        <f>SUM(I58:K58)</f>
        <v>1</v>
      </c>
    </row>
    <row r="59" spans="8:13">
      <c r="H59" t="s">
        <v>163</v>
      </c>
      <c r="I59">
        <v>0</v>
      </c>
      <c r="J59">
        <v>0</v>
      </c>
      <c r="K59">
        <v>1</v>
      </c>
      <c r="M59">
        <f>SUM(I59:K59)</f>
        <v>1</v>
      </c>
    </row>
    <row r="60" spans="8:13">
      <c r="H60" t="s">
        <v>142</v>
      </c>
      <c r="I60">
        <v>1</v>
      </c>
      <c r="J60">
        <v>0</v>
      </c>
      <c r="K60">
        <v>0</v>
      </c>
      <c r="M60">
        <f>SUM(I60:K60)</f>
        <v>1</v>
      </c>
    </row>
    <row r="61" spans="8:13">
      <c r="H61" t="s">
        <v>189</v>
      </c>
      <c r="I61">
        <v>1</v>
      </c>
      <c r="J61">
        <v>0</v>
      </c>
      <c r="K61">
        <v>0</v>
      </c>
      <c r="M61">
        <f>SUM(I61:K61)</f>
        <v>1</v>
      </c>
    </row>
    <row r="62" spans="8:13">
      <c r="H62" t="s">
        <v>192</v>
      </c>
      <c r="I62">
        <v>1</v>
      </c>
      <c r="J62">
        <v>0</v>
      </c>
      <c r="K62">
        <v>0</v>
      </c>
      <c r="M62">
        <f>SUM(I62:K62)</f>
        <v>1</v>
      </c>
    </row>
    <row r="63" spans="8:13">
      <c r="H63" t="s">
        <v>176</v>
      </c>
      <c r="I63">
        <v>1</v>
      </c>
      <c r="J63">
        <v>0</v>
      </c>
      <c r="K63">
        <v>0</v>
      </c>
      <c r="M63">
        <f>SUM(I63:K63)</f>
        <v>1</v>
      </c>
    </row>
    <row r="64" spans="8:13">
      <c r="H64" t="s">
        <v>182</v>
      </c>
      <c r="I64">
        <v>1</v>
      </c>
      <c r="J64">
        <v>0</v>
      </c>
      <c r="K64">
        <v>0</v>
      </c>
      <c r="M64">
        <f>SUM(I64:K64)</f>
        <v>1</v>
      </c>
    </row>
    <row r="65" spans="8:13">
      <c r="H65" t="s">
        <v>168</v>
      </c>
      <c r="I65">
        <v>1</v>
      </c>
      <c r="J65">
        <v>0</v>
      </c>
      <c r="K65">
        <v>0</v>
      </c>
      <c r="M65">
        <f>SUM(I65:K65)</f>
        <v>1</v>
      </c>
    </row>
    <row r="66" spans="8:13">
      <c r="H66" t="s">
        <v>183</v>
      </c>
      <c r="I66">
        <v>1</v>
      </c>
      <c r="J66">
        <v>0</v>
      </c>
      <c r="K66">
        <v>0</v>
      </c>
      <c r="M66">
        <f>SUM(I66:K66)</f>
        <v>1</v>
      </c>
    </row>
    <row r="67" spans="8:13">
      <c r="H67" t="s">
        <v>180</v>
      </c>
      <c r="I67">
        <v>1</v>
      </c>
      <c r="J67">
        <v>0</v>
      </c>
      <c r="K67">
        <v>0</v>
      </c>
      <c r="M67">
        <f>SUM(I67:K67)</f>
        <v>1</v>
      </c>
    </row>
    <row r="68" spans="8:13">
      <c r="H68" t="s">
        <v>186</v>
      </c>
      <c r="I68">
        <v>1</v>
      </c>
      <c r="J68">
        <v>0</v>
      </c>
      <c r="K68">
        <v>0</v>
      </c>
      <c r="M68">
        <f>SUM(I68:K68)</f>
        <v>1</v>
      </c>
    </row>
    <row r="69" spans="8:13">
      <c r="H69" t="s">
        <v>193</v>
      </c>
      <c r="I69">
        <v>1</v>
      </c>
      <c r="J69">
        <v>0</v>
      </c>
      <c r="K69">
        <v>0</v>
      </c>
      <c r="M69">
        <f>SUM(I69:K69)</f>
        <v>1</v>
      </c>
    </row>
  </sheetData>
  <sortState xmlns:xlrd2="http://schemas.microsoft.com/office/spreadsheetml/2017/richdata2" ref="H4:M69">
    <sortCondition descending="1" ref="M4:M69"/>
  </sortState>
  <mergeCells count="2">
    <mergeCell ref="A1:H1"/>
    <mergeCell ref="N3:O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5FAE6-F050-4575-A0C1-5E32D95DF259}">
  <dimension ref="A1:N69"/>
  <sheetViews>
    <sheetView workbookViewId="0">
      <selection activeCell="O12" sqref="O12"/>
    </sheetView>
  </sheetViews>
  <sheetFormatPr defaultRowHeight="15"/>
  <cols>
    <col min="6" max="6" width="17.140625" customWidth="1"/>
    <col min="8" max="8" width="48.140625" customWidth="1"/>
    <col min="9" max="12" width="20.85546875" customWidth="1"/>
  </cols>
  <sheetData>
    <row r="1" spans="1:14">
      <c r="A1" s="32" t="s">
        <v>249</v>
      </c>
      <c r="B1" s="32"/>
      <c r="C1" s="32"/>
      <c r="D1" s="32"/>
      <c r="E1" s="32"/>
      <c r="F1" s="32"/>
      <c r="G1" s="32"/>
      <c r="H1" s="32"/>
    </row>
    <row r="3" spans="1:14">
      <c r="A3" s="3" t="s">
        <v>36</v>
      </c>
      <c r="B3" t="s">
        <v>57</v>
      </c>
      <c r="G3" s="3" t="s">
        <v>38</v>
      </c>
      <c r="H3" s="20" t="s">
        <v>250</v>
      </c>
      <c r="I3" s="20" t="s">
        <v>251</v>
      </c>
      <c r="J3" s="8"/>
      <c r="K3" s="18" t="s">
        <v>252</v>
      </c>
      <c r="L3" s="18" t="s">
        <v>253</v>
      </c>
      <c r="M3" s="31" t="s">
        <v>42</v>
      </c>
      <c r="N3" s="31"/>
    </row>
    <row r="4" spans="1:14">
      <c r="B4" t="s">
        <v>254</v>
      </c>
      <c r="H4" s="1" t="s">
        <v>255</v>
      </c>
      <c r="I4" s="1">
        <v>2016</v>
      </c>
      <c r="J4" s="4"/>
      <c r="K4" s="4">
        <v>2002</v>
      </c>
      <c r="L4" s="4">
        <f>COUNTIF($I$4:$I$112,K4)</f>
        <v>5</v>
      </c>
    </row>
    <row r="5" spans="1:14">
      <c r="B5" t="s">
        <v>256</v>
      </c>
      <c r="H5" s="1" t="s">
        <v>257</v>
      </c>
      <c r="I5" s="1">
        <v>2016</v>
      </c>
      <c r="J5" s="4"/>
      <c r="K5" s="4">
        <v>2004</v>
      </c>
      <c r="L5" s="4">
        <f t="shared" ref="L5:L11" si="0">COUNTIF($I$4:$I$112,K5)</f>
        <v>7</v>
      </c>
    </row>
    <row r="6" spans="1:14">
      <c r="B6" t="s">
        <v>208</v>
      </c>
      <c r="H6" s="1" t="s">
        <v>258</v>
      </c>
      <c r="I6" s="1">
        <v>2016</v>
      </c>
      <c r="J6" s="4"/>
      <c r="K6" s="4">
        <v>2006</v>
      </c>
      <c r="L6" s="4">
        <f t="shared" si="0"/>
        <v>11</v>
      </c>
    </row>
    <row r="7" spans="1:14">
      <c r="B7" t="s">
        <v>259</v>
      </c>
      <c r="H7" s="1" t="s">
        <v>260</v>
      </c>
      <c r="I7" s="1">
        <v>2016</v>
      </c>
      <c r="J7" s="4"/>
      <c r="K7" s="4">
        <v>2008</v>
      </c>
      <c r="L7" s="4">
        <f t="shared" si="0"/>
        <v>8</v>
      </c>
    </row>
    <row r="8" spans="1:14">
      <c r="B8" t="s">
        <v>261</v>
      </c>
      <c r="H8" s="1" t="s">
        <v>262</v>
      </c>
      <c r="I8" s="1">
        <v>2016</v>
      </c>
      <c r="J8" s="4"/>
      <c r="K8" s="4">
        <v>2010</v>
      </c>
      <c r="L8" s="4">
        <f t="shared" si="0"/>
        <v>4</v>
      </c>
    </row>
    <row r="9" spans="1:14">
      <c r="B9" t="s">
        <v>263</v>
      </c>
      <c r="H9" s="1" t="s">
        <v>264</v>
      </c>
      <c r="I9" s="1">
        <v>2014</v>
      </c>
      <c r="J9" s="4"/>
      <c r="K9" s="4">
        <v>2012</v>
      </c>
      <c r="L9" s="4">
        <f t="shared" si="0"/>
        <v>14</v>
      </c>
    </row>
    <row r="10" spans="1:14">
      <c r="B10" t="s">
        <v>265</v>
      </c>
      <c r="H10" s="1" t="s">
        <v>266</v>
      </c>
      <c r="I10" s="1">
        <v>2014</v>
      </c>
      <c r="J10" s="4"/>
      <c r="K10" s="4">
        <v>2014</v>
      </c>
      <c r="L10" s="4">
        <f t="shared" si="0"/>
        <v>12</v>
      </c>
    </row>
    <row r="11" spans="1:14">
      <c r="B11" t="s">
        <v>267</v>
      </c>
      <c r="H11" s="1" t="s">
        <v>268</v>
      </c>
      <c r="I11" s="1">
        <v>2014</v>
      </c>
      <c r="J11" s="4"/>
      <c r="K11" s="4">
        <v>2016</v>
      </c>
      <c r="L11" s="4">
        <f>COUNTIF($I$4:$I$112,K11)</f>
        <v>5</v>
      </c>
    </row>
    <row r="12" spans="1:14">
      <c r="H12" s="1" t="s">
        <v>269</v>
      </c>
      <c r="I12" s="1">
        <v>2014</v>
      </c>
      <c r="J12" s="4"/>
      <c r="K12" s="4"/>
      <c r="L12" s="4"/>
    </row>
    <row r="13" spans="1:14">
      <c r="H13" s="1" t="s">
        <v>270</v>
      </c>
      <c r="I13" s="1">
        <v>2014</v>
      </c>
      <c r="J13" s="4"/>
      <c r="K13" s="4"/>
      <c r="L13" s="4"/>
    </row>
    <row r="14" spans="1:14">
      <c r="H14" s="1" t="s">
        <v>271</v>
      </c>
      <c r="I14" s="1">
        <v>2014</v>
      </c>
      <c r="J14" s="4"/>
      <c r="K14" s="4"/>
      <c r="L14" s="4"/>
    </row>
    <row r="15" spans="1:14">
      <c r="H15" s="1" t="s">
        <v>272</v>
      </c>
      <c r="I15" s="1">
        <v>2014</v>
      </c>
      <c r="J15" s="4"/>
      <c r="K15" s="4"/>
      <c r="L15" s="4"/>
    </row>
    <row r="16" spans="1:14">
      <c r="H16" s="1" t="s">
        <v>273</v>
      </c>
      <c r="I16" s="1">
        <v>2014</v>
      </c>
      <c r="J16" s="4"/>
      <c r="K16" s="4"/>
      <c r="L16" s="4"/>
    </row>
    <row r="17" spans="8:12">
      <c r="H17" s="1" t="s">
        <v>274</v>
      </c>
      <c r="I17" s="1">
        <v>2014</v>
      </c>
      <c r="J17" s="4"/>
      <c r="K17" s="4"/>
      <c r="L17" s="4"/>
    </row>
    <row r="18" spans="8:12">
      <c r="H18" s="1" t="s">
        <v>275</v>
      </c>
      <c r="I18" s="1">
        <v>2014</v>
      </c>
      <c r="J18" s="4"/>
      <c r="K18" s="4"/>
      <c r="L18" s="4"/>
    </row>
    <row r="19" spans="8:12">
      <c r="H19" s="1" t="s">
        <v>276</v>
      </c>
      <c r="I19" s="1">
        <v>2014</v>
      </c>
      <c r="J19" s="4"/>
      <c r="K19" s="4"/>
      <c r="L19" s="4"/>
    </row>
    <row r="20" spans="8:12">
      <c r="H20" s="1" t="s">
        <v>277</v>
      </c>
      <c r="I20" s="1">
        <v>2014</v>
      </c>
      <c r="J20" s="4"/>
      <c r="K20" s="4"/>
      <c r="L20" s="4"/>
    </row>
    <row r="21" spans="8:12">
      <c r="H21" s="1" t="s">
        <v>278</v>
      </c>
      <c r="I21" s="1">
        <v>2012</v>
      </c>
      <c r="J21" s="4"/>
      <c r="K21" s="4"/>
      <c r="L21" s="4"/>
    </row>
    <row r="22" spans="8:12">
      <c r="H22" s="1" t="s">
        <v>279</v>
      </c>
      <c r="I22" s="1">
        <v>2012</v>
      </c>
      <c r="J22" s="4"/>
      <c r="K22" s="4"/>
      <c r="L22" s="4"/>
    </row>
    <row r="23" spans="8:12">
      <c r="H23" s="1" t="s">
        <v>280</v>
      </c>
      <c r="I23" s="1">
        <v>2012</v>
      </c>
      <c r="J23" s="4"/>
      <c r="K23" s="4"/>
      <c r="L23" s="4"/>
    </row>
    <row r="24" spans="8:12">
      <c r="H24" s="1" t="s">
        <v>281</v>
      </c>
      <c r="I24" s="1">
        <v>2012</v>
      </c>
      <c r="J24" s="4"/>
      <c r="K24" s="4"/>
      <c r="L24" s="4"/>
    </row>
    <row r="25" spans="8:12">
      <c r="H25" s="1" t="s">
        <v>282</v>
      </c>
      <c r="I25" s="1">
        <v>2012</v>
      </c>
      <c r="J25" s="4"/>
      <c r="K25" s="4"/>
      <c r="L25" s="4"/>
    </row>
    <row r="26" spans="8:12">
      <c r="H26" s="1" t="s">
        <v>283</v>
      </c>
      <c r="I26" s="1">
        <v>2012</v>
      </c>
      <c r="J26" s="4"/>
      <c r="K26" s="4"/>
      <c r="L26" s="4"/>
    </row>
    <row r="27" spans="8:12">
      <c r="H27" s="1" t="s">
        <v>284</v>
      </c>
      <c r="I27" s="1">
        <v>2012</v>
      </c>
      <c r="J27" s="4"/>
      <c r="K27" s="4"/>
      <c r="L27" s="4"/>
    </row>
    <row r="28" spans="8:12">
      <c r="H28" s="1" t="s">
        <v>285</v>
      </c>
      <c r="I28" s="1">
        <v>2012</v>
      </c>
      <c r="J28" s="4"/>
      <c r="K28" s="4"/>
      <c r="L28" s="4"/>
    </row>
    <row r="29" spans="8:12">
      <c r="H29" s="1" t="s">
        <v>286</v>
      </c>
      <c r="I29" s="1">
        <v>2012</v>
      </c>
      <c r="J29" s="4"/>
      <c r="K29" s="4"/>
      <c r="L29" s="4"/>
    </row>
    <row r="30" spans="8:12">
      <c r="H30" s="1" t="s">
        <v>287</v>
      </c>
      <c r="I30" s="1">
        <v>2012</v>
      </c>
      <c r="J30" s="4"/>
      <c r="K30" s="4"/>
      <c r="L30" s="4"/>
    </row>
    <row r="31" spans="8:12">
      <c r="H31" s="1" t="s">
        <v>288</v>
      </c>
      <c r="I31" s="1">
        <v>2012</v>
      </c>
      <c r="J31" s="4"/>
      <c r="K31" s="4"/>
      <c r="L31" s="4"/>
    </row>
    <row r="32" spans="8:12">
      <c r="H32" s="1" t="s">
        <v>289</v>
      </c>
      <c r="I32" s="1">
        <v>2012</v>
      </c>
      <c r="J32" s="4"/>
      <c r="K32" s="4"/>
      <c r="L32" s="4"/>
    </row>
    <row r="33" spans="8:12">
      <c r="H33" s="1" t="s">
        <v>290</v>
      </c>
      <c r="I33" s="1">
        <v>2012</v>
      </c>
      <c r="J33" s="4"/>
      <c r="K33" s="4"/>
      <c r="L33" s="4"/>
    </row>
    <row r="34" spans="8:12">
      <c r="H34" s="1" t="s">
        <v>291</v>
      </c>
      <c r="I34" s="1">
        <v>2012</v>
      </c>
      <c r="J34" s="4"/>
      <c r="K34" s="4"/>
      <c r="L34" s="4"/>
    </row>
    <row r="35" spans="8:12">
      <c r="H35" s="1" t="s">
        <v>292</v>
      </c>
      <c r="I35" s="1">
        <v>2010</v>
      </c>
      <c r="J35" s="4"/>
      <c r="K35" s="4"/>
      <c r="L35" s="4"/>
    </row>
    <row r="36" spans="8:12">
      <c r="H36" s="1" t="s">
        <v>293</v>
      </c>
      <c r="I36" s="1">
        <v>2010</v>
      </c>
      <c r="J36" s="4"/>
      <c r="K36" s="4"/>
      <c r="L36" s="4"/>
    </row>
    <row r="37" spans="8:12">
      <c r="H37" s="1" t="s">
        <v>294</v>
      </c>
      <c r="I37" s="1">
        <v>2010</v>
      </c>
      <c r="J37" s="4"/>
      <c r="K37" s="4"/>
      <c r="L37" s="4"/>
    </row>
    <row r="38" spans="8:12">
      <c r="H38" s="1" t="s">
        <v>295</v>
      </c>
      <c r="I38" s="1">
        <v>2010</v>
      </c>
      <c r="J38" s="4"/>
      <c r="K38" s="4"/>
      <c r="L38" s="4"/>
    </row>
    <row r="39" spans="8:12">
      <c r="H39" s="1" t="s">
        <v>296</v>
      </c>
      <c r="I39" s="1">
        <v>2008</v>
      </c>
      <c r="J39" s="4"/>
      <c r="K39" s="4"/>
      <c r="L39" s="4"/>
    </row>
    <row r="40" spans="8:12">
      <c r="H40" s="1" t="s">
        <v>297</v>
      </c>
      <c r="I40" s="1">
        <v>2008</v>
      </c>
      <c r="J40" s="4"/>
      <c r="K40" s="4"/>
      <c r="L40" s="4"/>
    </row>
    <row r="41" spans="8:12">
      <c r="H41" s="1" t="s">
        <v>298</v>
      </c>
      <c r="I41" s="1">
        <v>2008</v>
      </c>
      <c r="J41" s="4"/>
      <c r="K41" s="4"/>
      <c r="L41" s="4"/>
    </row>
    <row r="42" spans="8:12">
      <c r="H42" s="1" t="s">
        <v>299</v>
      </c>
      <c r="I42" s="1">
        <v>2008</v>
      </c>
      <c r="J42" s="4"/>
      <c r="K42" s="4"/>
      <c r="L42" s="4"/>
    </row>
    <row r="43" spans="8:12">
      <c r="H43" s="1" t="s">
        <v>300</v>
      </c>
      <c r="I43" s="1">
        <v>2008</v>
      </c>
      <c r="J43" s="4"/>
      <c r="K43" s="4"/>
      <c r="L43" s="4"/>
    </row>
    <row r="44" spans="8:12">
      <c r="H44" s="1" t="s">
        <v>301</v>
      </c>
      <c r="I44" s="1">
        <v>2008</v>
      </c>
      <c r="J44" s="4"/>
      <c r="K44" s="4"/>
      <c r="L44" s="4"/>
    </row>
    <row r="45" spans="8:12">
      <c r="H45" s="1" t="s">
        <v>302</v>
      </c>
      <c r="I45" s="1">
        <v>2008</v>
      </c>
      <c r="J45" s="4"/>
      <c r="K45" s="4"/>
      <c r="L45" s="4"/>
    </row>
    <row r="46" spans="8:12">
      <c r="H46" s="1" t="s">
        <v>303</v>
      </c>
      <c r="I46" s="1">
        <v>2008</v>
      </c>
      <c r="J46" s="4"/>
      <c r="K46" s="4"/>
      <c r="L46" s="4"/>
    </row>
    <row r="47" spans="8:12">
      <c r="H47" s="1" t="s">
        <v>304</v>
      </c>
      <c r="I47" s="1">
        <v>2006</v>
      </c>
      <c r="J47" s="4"/>
      <c r="K47" s="4"/>
      <c r="L47" s="4"/>
    </row>
    <row r="48" spans="8:12">
      <c r="H48" s="1" t="s">
        <v>305</v>
      </c>
      <c r="I48" s="1">
        <v>2006</v>
      </c>
      <c r="J48" s="4"/>
      <c r="K48" s="4"/>
      <c r="L48" s="4"/>
    </row>
    <row r="49" spans="8:12">
      <c r="H49" s="1" t="s">
        <v>306</v>
      </c>
      <c r="I49" s="1">
        <v>2006</v>
      </c>
      <c r="J49" s="4"/>
      <c r="K49" s="4"/>
      <c r="L49" s="4"/>
    </row>
    <row r="50" spans="8:12">
      <c r="H50" s="1" t="s">
        <v>307</v>
      </c>
      <c r="I50" s="1">
        <v>2006</v>
      </c>
      <c r="J50" s="4"/>
      <c r="K50" s="4"/>
      <c r="L50" s="4"/>
    </row>
    <row r="51" spans="8:12">
      <c r="H51" s="1" t="s">
        <v>308</v>
      </c>
      <c r="I51" s="1">
        <v>2006</v>
      </c>
      <c r="J51" s="4"/>
      <c r="K51" s="4"/>
      <c r="L51" s="4"/>
    </row>
    <row r="52" spans="8:12">
      <c r="H52" s="1" t="s">
        <v>309</v>
      </c>
      <c r="I52" s="1">
        <v>2006</v>
      </c>
      <c r="J52" s="4"/>
      <c r="K52" s="4"/>
      <c r="L52" s="4"/>
    </row>
    <row r="53" spans="8:12">
      <c r="H53" s="1" t="s">
        <v>310</v>
      </c>
      <c r="I53" s="1">
        <v>2006</v>
      </c>
      <c r="J53" s="4"/>
      <c r="K53" s="4"/>
      <c r="L53" s="4"/>
    </row>
    <row r="54" spans="8:12">
      <c r="H54" s="1" t="s">
        <v>311</v>
      </c>
      <c r="I54" s="1">
        <v>2006</v>
      </c>
      <c r="J54" s="4"/>
      <c r="K54" s="4"/>
      <c r="L54" s="4"/>
    </row>
    <row r="55" spans="8:12">
      <c r="H55" s="1" t="s">
        <v>312</v>
      </c>
      <c r="I55" s="1">
        <v>2006</v>
      </c>
      <c r="J55" s="4"/>
      <c r="K55" s="4"/>
      <c r="L55" s="4"/>
    </row>
    <row r="56" spans="8:12">
      <c r="H56" s="1" t="s">
        <v>313</v>
      </c>
      <c r="I56" s="1">
        <v>2006</v>
      </c>
      <c r="J56" s="4"/>
      <c r="K56" s="4"/>
      <c r="L56" s="4"/>
    </row>
    <row r="57" spans="8:12">
      <c r="H57" s="1" t="s">
        <v>314</v>
      </c>
      <c r="I57" s="1">
        <v>2006</v>
      </c>
      <c r="J57" s="4"/>
      <c r="K57" s="4"/>
      <c r="L57" s="4"/>
    </row>
    <row r="58" spans="8:12">
      <c r="H58" s="1" t="s">
        <v>315</v>
      </c>
      <c r="I58" s="1">
        <v>2004</v>
      </c>
      <c r="J58" s="4"/>
      <c r="K58" s="4"/>
      <c r="L58" s="4"/>
    </row>
    <row r="59" spans="8:12">
      <c r="H59" s="1" t="s">
        <v>316</v>
      </c>
      <c r="I59" s="1">
        <v>2004</v>
      </c>
      <c r="J59" s="4"/>
      <c r="K59" s="4"/>
      <c r="L59" s="4"/>
    </row>
    <row r="60" spans="8:12">
      <c r="H60" s="1" t="s">
        <v>317</v>
      </c>
      <c r="I60" s="1">
        <v>2004</v>
      </c>
      <c r="J60" s="4"/>
      <c r="K60" s="4"/>
      <c r="L60" s="4"/>
    </row>
    <row r="61" spans="8:12">
      <c r="H61" s="1" t="s">
        <v>318</v>
      </c>
      <c r="I61" s="1">
        <v>2004</v>
      </c>
      <c r="J61" s="4"/>
      <c r="K61" s="4"/>
      <c r="L61" s="4"/>
    </row>
    <row r="62" spans="8:12">
      <c r="H62" s="1" t="s">
        <v>319</v>
      </c>
      <c r="I62" s="1">
        <v>2004</v>
      </c>
      <c r="J62" s="4"/>
      <c r="K62" s="4"/>
      <c r="L62" s="4"/>
    </row>
    <row r="63" spans="8:12">
      <c r="H63" s="1" t="s">
        <v>320</v>
      </c>
      <c r="I63" s="1">
        <v>2004</v>
      </c>
      <c r="J63" s="4"/>
      <c r="K63" s="4"/>
      <c r="L63" s="4"/>
    </row>
    <row r="64" spans="8:12">
      <c r="H64" s="1" t="s">
        <v>321</v>
      </c>
      <c r="I64" s="1">
        <v>2004</v>
      </c>
      <c r="J64" s="4"/>
      <c r="K64" s="4"/>
      <c r="L64" s="4"/>
    </row>
    <row r="65" spans="8:12">
      <c r="H65" s="1" t="s">
        <v>322</v>
      </c>
      <c r="I65" s="1">
        <v>2002</v>
      </c>
      <c r="J65" s="4"/>
      <c r="K65" s="4"/>
      <c r="L65" s="4"/>
    </row>
    <row r="66" spans="8:12">
      <c r="H66" s="1" t="s">
        <v>323</v>
      </c>
      <c r="I66" s="1">
        <v>2002</v>
      </c>
      <c r="J66" s="4"/>
      <c r="K66" s="4"/>
      <c r="L66" s="4"/>
    </row>
    <row r="67" spans="8:12">
      <c r="H67" s="1" t="s">
        <v>324</v>
      </c>
      <c r="I67" s="1">
        <v>2002</v>
      </c>
      <c r="J67" s="4"/>
      <c r="K67" s="4"/>
      <c r="L67" s="4"/>
    </row>
    <row r="68" spans="8:12">
      <c r="H68" s="1" t="s">
        <v>325</v>
      </c>
      <c r="I68" s="1">
        <v>2002</v>
      </c>
      <c r="J68" s="4"/>
      <c r="K68" s="4"/>
      <c r="L68" s="4"/>
    </row>
    <row r="69" spans="8:12">
      <c r="H69" s="1" t="s">
        <v>326</v>
      </c>
      <c r="I69" s="1">
        <v>2002</v>
      </c>
      <c r="J69" s="4"/>
      <c r="K69" s="4"/>
      <c r="L69" s="4"/>
    </row>
  </sheetData>
  <mergeCells count="2">
    <mergeCell ref="A1:H1"/>
    <mergeCell ref="M3:N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B340E-6AD3-493E-8F86-656C8FB44D87}">
  <dimension ref="A1:O454"/>
  <sheetViews>
    <sheetView workbookViewId="0">
      <selection activeCell="K1" sqref="K1"/>
    </sheetView>
  </sheetViews>
  <sheetFormatPr defaultRowHeight="15"/>
  <cols>
    <col min="6" max="6" width="25.140625" customWidth="1"/>
    <col min="7" max="7" width="10.140625" customWidth="1"/>
    <col min="8" max="8" width="48.140625" customWidth="1"/>
    <col min="9" max="9" width="13.42578125" customWidth="1"/>
    <col min="10" max="12" width="11.85546875" customWidth="1"/>
    <col min="13" max="13" width="19.42578125" customWidth="1"/>
  </cols>
  <sheetData>
    <row r="1" spans="1:15">
      <c r="A1" s="32" t="s">
        <v>327</v>
      </c>
      <c r="B1" s="32"/>
      <c r="C1" s="32"/>
      <c r="D1" s="32"/>
      <c r="E1" s="32"/>
      <c r="F1" s="32"/>
      <c r="G1" s="32"/>
      <c r="H1" s="32"/>
    </row>
    <row r="3" spans="1:15">
      <c r="A3" s="3" t="s">
        <v>36</v>
      </c>
      <c r="B3" t="s">
        <v>57</v>
      </c>
      <c r="G3" s="3" t="s">
        <v>38</v>
      </c>
      <c r="H3" s="20" t="s">
        <v>250</v>
      </c>
      <c r="I3" s="20" t="s">
        <v>127</v>
      </c>
      <c r="J3" s="20" t="s">
        <v>328</v>
      </c>
      <c r="K3" s="8"/>
      <c r="L3" s="14" t="s">
        <v>329</v>
      </c>
      <c r="M3" s="14" t="s">
        <v>330</v>
      </c>
      <c r="N3" s="31" t="s">
        <v>42</v>
      </c>
      <c r="O3" s="31"/>
    </row>
    <row r="4" spans="1:15">
      <c r="B4" t="s">
        <v>254</v>
      </c>
      <c r="H4" s="1" t="s">
        <v>331</v>
      </c>
      <c r="I4" s="1">
        <v>1908</v>
      </c>
      <c r="J4" s="1">
        <v>2014</v>
      </c>
      <c r="K4" s="4"/>
      <c r="L4" s="4">
        <v>1896</v>
      </c>
      <c r="M4" s="4">
        <f>COUNTIF($J$4:$J$454,L4)</f>
        <v>11</v>
      </c>
    </row>
    <row r="5" spans="1:15">
      <c r="B5" t="s">
        <v>332</v>
      </c>
      <c r="H5" s="1" t="s">
        <v>333</v>
      </c>
      <c r="I5" s="1">
        <v>1908</v>
      </c>
      <c r="J5" s="1">
        <v>2014</v>
      </c>
      <c r="K5" s="4"/>
      <c r="L5" s="4">
        <v>1900</v>
      </c>
      <c r="M5" s="4">
        <f>COUNTIF($J$4:$J$454,L5)</f>
        <v>39</v>
      </c>
    </row>
    <row r="6" spans="1:15">
      <c r="B6" t="s">
        <v>334</v>
      </c>
      <c r="H6" s="1" t="s">
        <v>335</v>
      </c>
      <c r="I6" s="1">
        <v>1920</v>
      </c>
      <c r="J6" s="1">
        <v>2014</v>
      </c>
      <c r="K6" s="4"/>
      <c r="L6" s="4">
        <v>1904</v>
      </c>
      <c r="M6" s="4">
        <f t="shared" ref="M5:M37" si="0">COUNTIF($J$4:$J$454,L6)</f>
        <v>33</v>
      </c>
    </row>
    <row r="7" spans="1:15">
      <c r="B7" t="s">
        <v>208</v>
      </c>
      <c r="H7" s="1" t="s">
        <v>336</v>
      </c>
      <c r="I7" s="1">
        <v>1964</v>
      </c>
      <c r="J7" s="1">
        <v>2014</v>
      </c>
      <c r="K7" s="4"/>
      <c r="L7" s="4">
        <v>1906</v>
      </c>
      <c r="M7" s="4">
        <f t="shared" si="0"/>
        <v>25</v>
      </c>
    </row>
    <row r="8" spans="1:15">
      <c r="B8" t="s">
        <v>259</v>
      </c>
      <c r="H8" s="1" t="s">
        <v>337</v>
      </c>
      <c r="I8" s="1">
        <v>1964</v>
      </c>
      <c r="J8" s="1">
        <v>2014</v>
      </c>
      <c r="K8" s="4"/>
      <c r="L8" s="4">
        <v>1908</v>
      </c>
      <c r="M8" s="4">
        <f t="shared" si="0"/>
        <v>31</v>
      </c>
    </row>
    <row r="9" spans="1:15">
      <c r="B9" t="s">
        <v>263</v>
      </c>
      <c r="H9" s="1" t="s">
        <v>338</v>
      </c>
      <c r="I9" s="1">
        <v>1992</v>
      </c>
      <c r="J9" s="1">
        <v>2014</v>
      </c>
      <c r="K9" s="4"/>
      <c r="L9" s="4">
        <v>1912</v>
      </c>
      <c r="M9" s="4">
        <f t="shared" si="0"/>
        <v>22</v>
      </c>
    </row>
    <row r="10" spans="1:15">
      <c r="B10" t="s">
        <v>339</v>
      </c>
      <c r="H10" s="1" t="s">
        <v>340</v>
      </c>
      <c r="I10" s="1">
        <v>1928</v>
      </c>
      <c r="J10" s="1">
        <v>2014</v>
      </c>
      <c r="K10" s="4"/>
      <c r="L10" s="4">
        <v>1920</v>
      </c>
      <c r="M10" s="4">
        <f t="shared" si="0"/>
        <v>36</v>
      </c>
    </row>
    <row r="11" spans="1:15">
      <c r="B11" t="s">
        <v>341</v>
      </c>
      <c r="H11" s="1" t="s">
        <v>342</v>
      </c>
      <c r="I11" s="1">
        <v>1964</v>
      </c>
      <c r="J11" s="1">
        <v>2014</v>
      </c>
      <c r="K11" s="4"/>
      <c r="L11" s="4">
        <v>1924</v>
      </c>
      <c r="M11" s="4">
        <f t="shared" si="0"/>
        <v>21</v>
      </c>
    </row>
    <row r="12" spans="1:15">
      <c r="H12" s="1" t="s">
        <v>343</v>
      </c>
      <c r="I12" s="1">
        <v>1994</v>
      </c>
      <c r="J12" s="1">
        <v>2014</v>
      </c>
      <c r="K12" s="4"/>
      <c r="L12" s="4">
        <v>1928</v>
      </c>
      <c r="M12" s="4">
        <f t="shared" si="0"/>
        <v>1</v>
      </c>
    </row>
    <row r="13" spans="1:15">
      <c r="H13" s="1" t="s">
        <v>344</v>
      </c>
      <c r="I13" s="1">
        <v>1992</v>
      </c>
      <c r="J13" s="1">
        <v>2014</v>
      </c>
      <c r="K13" s="4"/>
      <c r="L13" s="4">
        <v>1932</v>
      </c>
      <c r="M13" s="4">
        <f t="shared" si="0"/>
        <v>7</v>
      </c>
    </row>
    <row r="14" spans="1:15">
      <c r="H14" s="1" t="s">
        <v>345</v>
      </c>
      <c r="I14" s="1">
        <v>1988</v>
      </c>
      <c r="J14" s="1">
        <v>2014</v>
      </c>
      <c r="K14" s="4"/>
      <c r="L14" s="4">
        <v>1936</v>
      </c>
      <c r="M14" s="4">
        <f t="shared" si="0"/>
        <v>10</v>
      </c>
    </row>
    <row r="15" spans="1:15">
      <c r="H15" s="1" t="s">
        <v>346</v>
      </c>
      <c r="I15" s="1">
        <v>1988</v>
      </c>
      <c r="J15" s="1">
        <v>2014</v>
      </c>
      <c r="K15" s="4"/>
      <c r="L15" s="4">
        <v>1948</v>
      </c>
      <c r="M15" s="4">
        <f t="shared" si="0"/>
        <v>20</v>
      </c>
    </row>
    <row r="16" spans="1:15">
      <c r="H16" s="1" t="s">
        <v>347</v>
      </c>
      <c r="I16" s="1">
        <v>1992</v>
      </c>
      <c r="J16" s="1">
        <v>2014</v>
      </c>
      <c r="K16" s="4"/>
      <c r="L16" s="4">
        <v>1952</v>
      </c>
      <c r="M16" s="4">
        <f t="shared" si="0"/>
        <v>5</v>
      </c>
    </row>
    <row r="17" spans="8:13">
      <c r="H17" s="1" t="s">
        <v>348</v>
      </c>
      <c r="I17" s="1">
        <v>1980</v>
      </c>
      <c r="J17" s="1">
        <v>2014</v>
      </c>
      <c r="K17" s="4"/>
      <c r="L17" s="4">
        <v>1956</v>
      </c>
      <c r="M17" s="4">
        <f t="shared" si="0"/>
        <v>7</v>
      </c>
    </row>
    <row r="18" spans="8:13">
      <c r="H18" s="1" t="s">
        <v>349</v>
      </c>
      <c r="I18" s="1">
        <v>1968</v>
      </c>
      <c r="J18" s="1">
        <v>2014</v>
      </c>
      <c r="K18" s="4"/>
      <c r="L18" s="4">
        <v>1960</v>
      </c>
      <c r="M18" s="4">
        <f t="shared" si="0"/>
        <v>3</v>
      </c>
    </row>
    <row r="19" spans="8:13">
      <c r="H19" s="1" t="s">
        <v>350</v>
      </c>
      <c r="I19" s="1">
        <v>1960</v>
      </c>
      <c r="J19" s="1">
        <v>2014</v>
      </c>
      <c r="K19" s="4"/>
      <c r="L19" s="4">
        <v>1964</v>
      </c>
      <c r="M19" s="4">
        <f t="shared" si="0"/>
        <v>1</v>
      </c>
    </row>
    <row r="20" spans="8:13">
      <c r="H20" s="1" t="s">
        <v>351</v>
      </c>
      <c r="I20" s="1">
        <v>1976</v>
      </c>
      <c r="J20" s="1">
        <v>2014</v>
      </c>
      <c r="K20" s="4"/>
      <c r="L20" s="4">
        <v>1968</v>
      </c>
      <c r="M20" s="4">
        <f t="shared" si="0"/>
        <v>2</v>
      </c>
    </row>
    <row r="21" spans="8:13">
      <c r="H21" s="1" t="s">
        <v>352</v>
      </c>
      <c r="I21" s="1">
        <v>1924</v>
      </c>
      <c r="J21" s="1">
        <v>2014</v>
      </c>
      <c r="K21" s="4"/>
      <c r="L21" s="4">
        <v>1972</v>
      </c>
      <c r="M21" s="4">
        <f t="shared" si="0"/>
        <v>3</v>
      </c>
    </row>
    <row r="22" spans="8:13">
      <c r="H22" s="1" t="s">
        <v>353</v>
      </c>
      <c r="I22" s="1">
        <v>1932</v>
      </c>
      <c r="J22" s="1">
        <v>2014</v>
      </c>
      <c r="K22" s="4"/>
      <c r="L22" s="4">
        <v>1976</v>
      </c>
      <c r="M22" s="4">
        <f t="shared" si="0"/>
        <v>0</v>
      </c>
    </row>
    <row r="23" spans="8:13">
      <c r="H23" s="1" t="s">
        <v>354</v>
      </c>
      <c r="I23" s="1">
        <v>1932</v>
      </c>
      <c r="J23" s="1">
        <v>2014</v>
      </c>
      <c r="K23" s="4"/>
      <c r="L23" s="4">
        <v>1980</v>
      </c>
      <c r="M23" s="4">
        <f t="shared" si="0"/>
        <v>6</v>
      </c>
    </row>
    <row r="24" spans="8:13">
      <c r="H24" s="1" t="s">
        <v>355</v>
      </c>
      <c r="I24" s="1">
        <v>1976</v>
      </c>
      <c r="J24" s="1">
        <v>2014</v>
      </c>
      <c r="K24" s="4"/>
      <c r="L24" s="4">
        <v>1984</v>
      </c>
      <c r="M24" s="4">
        <f t="shared" si="0"/>
        <v>3</v>
      </c>
    </row>
    <row r="25" spans="8:13">
      <c r="H25" s="1" t="s">
        <v>356</v>
      </c>
      <c r="I25" s="1">
        <v>1924</v>
      </c>
      <c r="J25" s="1">
        <v>2014</v>
      </c>
      <c r="K25" s="4"/>
      <c r="L25" s="4">
        <v>1988</v>
      </c>
      <c r="M25" s="4">
        <f t="shared" si="0"/>
        <v>4</v>
      </c>
    </row>
    <row r="26" spans="8:13">
      <c r="H26" s="1" t="s">
        <v>357</v>
      </c>
      <c r="I26" s="1">
        <v>1924</v>
      </c>
      <c r="J26" s="1">
        <v>2014</v>
      </c>
      <c r="K26" s="4"/>
      <c r="L26" s="4">
        <v>1992</v>
      </c>
      <c r="M26" s="4">
        <f t="shared" si="0"/>
        <v>11</v>
      </c>
    </row>
    <row r="27" spans="8:13">
      <c r="H27" s="1" t="s">
        <v>358</v>
      </c>
      <c r="I27" s="1">
        <v>1924</v>
      </c>
      <c r="J27" s="1">
        <v>2014</v>
      </c>
      <c r="K27" s="4"/>
      <c r="L27" s="4">
        <v>1994</v>
      </c>
      <c r="M27" s="4">
        <f t="shared" si="0"/>
        <v>0</v>
      </c>
    </row>
    <row r="28" spans="8:13">
      <c r="H28" s="1" t="s">
        <v>359</v>
      </c>
      <c r="I28" s="1">
        <v>1924</v>
      </c>
      <c r="J28" s="1">
        <v>2014</v>
      </c>
      <c r="K28" s="4"/>
      <c r="L28" s="4">
        <v>1996</v>
      </c>
      <c r="M28" s="4">
        <f t="shared" si="0"/>
        <v>8</v>
      </c>
    </row>
    <row r="29" spans="8:13">
      <c r="H29" s="1" t="s">
        <v>360</v>
      </c>
      <c r="I29" s="1">
        <v>1924</v>
      </c>
      <c r="J29" s="1">
        <v>2014</v>
      </c>
      <c r="K29" s="4"/>
      <c r="L29" s="4">
        <v>1998</v>
      </c>
      <c r="M29" s="4">
        <f t="shared" si="0"/>
        <v>6</v>
      </c>
    </row>
    <row r="30" spans="8:13">
      <c r="H30" s="1" t="s">
        <v>361</v>
      </c>
      <c r="I30" s="1">
        <v>1936</v>
      </c>
      <c r="J30" s="1">
        <v>2014</v>
      </c>
      <c r="K30" s="4"/>
      <c r="L30" s="4">
        <v>2000</v>
      </c>
      <c r="M30" s="4">
        <f t="shared" si="0"/>
        <v>5</v>
      </c>
    </row>
    <row r="31" spans="8:13">
      <c r="H31" s="1" t="s">
        <v>362</v>
      </c>
      <c r="I31" s="1">
        <v>1956</v>
      </c>
      <c r="J31" s="1">
        <v>2014</v>
      </c>
      <c r="K31" s="4"/>
      <c r="L31" s="4">
        <v>2002</v>
      </c>
      <c r="M31" s="4">
        <f t="shared" si="0"/>
        <v>5</v>
      </c>
    </row>
    <row r="32" spans="8:13">
      <c r="H32" s="1" t="s">
        <v>326</v>
      </c>
      <c r="I32" s="1">
        <v>2002</v>
      </c>
      <c r="J32" s="1">
        <v>2014</v>
      </c>
      <c r="K32" s="4"/>
      <c r="L32" s="4">
        <v>2004</v>
      </c>
      <c r="M32" s="4">
        <f t="shared" si="0"/>
        <v>6</v>
      </c>
    </row>
    <row r="33" spans="8:13">
      <c r="H33" s="1" t="s">
        <v>363</v>
      </c>
      <c r="I33" s="1">
        <v>1988</v>
      </c>
      <c r="J33" s="1">
        <v>2014</v>
      </c>
      <c r="K33" s="4"/>
      <c r="L33" s="4">
        <v>2006</v>
      </c>
      <c r="M33" s="4">
        <f t="shared" si="0"/>
        <v>2</v>
      </c>
    </row>
    <row r="34" spans="8:13">
      <c r="H34" s="1" t="s">
        <v>364</v>
      </c>
      <c r="I34" s="1">
        <v>1936</v>
      </c>
      <c r="J34" s="1">
        <v>2014</v>
      </c>
      <c r="K34" s="4"/>
      <c r="L34" s="4">
        <v>2008</v>
      </c>
      <c r="M34" s="4">
        <f t="shared" si="0"/>
        <v>14</v>
      </c>
    </row>
    <row r="35" spans="8:13">
      <c r="H35" s="1" t="s">
        <v>365</v>
      </c>
      <c r="I35" s="1">
        <v>1948</v>
      </c>
      <c r="J35" s="1">
        <v>2014</v>
      </c>
      <c r="K35" s="4"/>
      <c r="L35" s="4">
        <v>2010</v>
      </c>
      <c r="M35" s="4">
        <f t="shared" si="0"/>
        <v>0</v>
      </c>
    </row>
    <row r="36" spans="8:13">
      <c r="H36" s="1" t="s">
        <v>366</v>
      </c>
      <c r="I36" s="1">
        <v>1952</v>
      </c>
      <c r="J36" s="1">
        <v>2014</v>
      </c>
      <c r="K36" s="4"/>
      <c r="L36" s="4">
        <v>2012</v>
      </c>
      <c r="M36" s="4">
        <f t="shared" si="0"/>
        <v>6</v>
      </c>
    </row>
    <row r="37" spans="8:13">
      <c r="H37" s="1" t="s">
        <v>367</v>
      </c>
      <c r="I37" s="1">
        <v>1948</v>
      </c>
      <c r="J37" s="1">
        <v>2014</v>
      </c>
      <c r="K37" s="4"/>
      <c r="L37" s="4">
        <v>2014</v>
      </c>
      <c r="M37" s="4">
        <f t="shared" si="0"/>
        <v>98</v>
      </c>
    </row>
    <row r="38" spans="8:13">
      <c r="H38" s="1" t="s">
        <v>368</v>
      </c>
      <c r="I38" s="1">
        <v>1948</v>
      </c>
      <c r="J38" s="1">
        <v>2014</v>
      </c>
      <c r="K38" s="4"/>
      <c r="L38" s="4"/>
      <c r="M38" s="4"/>
    </row>
    <row r="39" spans="8:13">
      <c r="H39" s="1" t="s">
        <v>369</v>
      </c>
      <c r="I39" s="1">
        <v>1952</v>
      </c>
      <c r="J39" s="1">
        <v>2014</v>
      </c>
      <c r="K39" s="4"/>
      <c r="L39" s="4"/>
      <c r="M39" s="4"/>
    </row>
    <row r="40" spans="8:13">
      <c r="H40" s="1" t="s">
        <v>370</v>
      </c>
      <c r="I40" s="1">
        <v>1948</v>
      </c>
      <c r="J40" s="1">
        <v>2014</v>
      </c>
      <c r="K40" s="4"/>
      <c r="L40" s="4"/>
      <c r="M40" s="4"/>
    </row>
    <row r="41" spans="8:13">
      <c r="H41" s="1" t="s">
        <v>371</v>
      </c>
      <c r="I41" s="1">
        <v>1936</v>
      </c>
      <c r="J41" s="1">
        <v>2014</v>
      </c>
      <c r="K41" s="4"/>
      <c r="L41" s="4"/>
      <c r="M41" s="4"/>
    </row>
    <row r="42" spans="8:13">
      <c r="H42" s="1" t="s">
        <v>372</v>
      </c>
      <c r="I42" s="1">
        <v>1988</v>
      </c>
      <c r="J42" s="1">
        <v>2014</v>
      </c>
      <c r="K42" s="4"/>
      <c r="L42" s="4"/>
      <c r="M42" s="4"/>
    </row>
    <row r="43" spans="8:13">
      <c r="H43" s="1" t="s">
        <v>373</v>
      </c>
      <c r="I43" s="1">
        <v>1992</v>
      </c>
      <c r="J43" s="1">
        <v>2014</v>
      </c>
      <c r="K43" s="4"/>
      <c r="L43" s="4"/>
      <c r="M43" s="4"/>
    </row>
    <row r="44" spans="8:13">
      <c r="H44" s="1" t="s">
        <v>374</v>
      </c>
      <c r="I44" s="1">
        <v>1976</v>
      </c>
      <c r="J44" s="1">
        <v>2014</v>
      </c>
      <c r="K44" s="4"/>
      <c r="L44" s="4"/>
      <c r="M44" s="4"/>
    </row>
    <row r="45" spans="8:13">
      <c r="H45" s="1" t="s">
        <v>375</v>
      </c>
      <c r="I45" s="1">
        <v>2002</v>
      </c>
      <c r="J45" s="1">
        <v>2014</v>
      </c>
      <c r="K45" s="4"/>
      <c r="L45" s="4"/>
      <c r="M45" s="4"/>
    </row>
    <row r="46" spans="8:13">
      <c r="H46" s="1" t="s">
        <v>376</v>
      </c>
      <c r="I46" s="1">
        <v>1952</v>
      </c>
      <c r="J46" s="1">
        <v>2014</v>
      </c>
      <c r="K46" s="4"/>
      <c r="L46" s="4"/>
      <c r="M46" s="4"/>
    </row>
    <row r="47" spans="8:13">
      <c r="H47" s="1" t="s">
        <v>377</v>
      </c>
      <c r="I47" s="1">
        <v>1908</v>
      </c>
      <c r="J47" s="1">
        <v>2014</v>
      </c>
      <c r="K47" s="4"/>
      <c r="L47" s="4"/>
      <c r="M47" s="4"/>
    </row>
    <row r="48" spans="8:13">
      <c r="H48" s="1" t="s">
        <v>378</v>
      </c>
      <c r="I48" s="1">
        <v>1960</v>
      </c>
      <c r="J48" s="1">
        <v>2014</v>
      </c>
      <c r="K48" s="4"/>
      <c r="L48" s="4"/>
      <c r="M48" s="4"/>
    </row>
    <row r="49" spans="8:13">
      <c r="H49" s="1" t="s">
        <v>379</v>
      </c>
      <c r="I49" s="1">
        <v>1960</v>
      </c>
      <c r="J49" s="1">
        <v>2014</v>
      </c>
      <c r="K49" s="4"/>
      <c r="L49" s="4"/>
      <c r="M49" s="4"/>
    </row>
    <row r="50" spans="8:13">
      <c r="H50" s="1" t="s">
        <v>380</v>
      </c>
      <c r="I50" s="1">
        <v>1960</v>
      </c>
      <c r="J50" s="1">
        <v>2014</v>
      </c>
      <c r="K50" s="4"/>
      <c r="L50" s="4"/>
      <c r="M50" s="4"/>
    </row>
    <row r="51" spans="8:13">
      <c r="H51" s="1" t="s">
        <v>381</v>
      </c>
      <c r="I51" s="1">
        <v>1960</v>
      </c>
      <c r="J51" s="1">
        <v>2014</v>
      </c>
      <c r="K51" s="4"/>
      <c r="L51" s="4"/>
      <c r="M51" s="4"/>
    </row>
    <row r="52" spans="8:13">
      <c r="H52" s="1" t="s">
        <v>382</v>
      </c>
      <c r="I52" s="1">
        <v>1988</v>
      </c>
      <c r="J52" s="1">
        <v>2014</v>
      </c>
      <c r="K52" s="4"/>
      <c r="L52" s="4"/>
      <c r="M52" s="4"/>
    </row>
    <row r="53" spans="8:13">
      <c r="H53" s="1" t="s">
        <v>383</v>
      </c>
      <c r="I53" s="1">
        <v>1992</v>
      </c>
      <c r="J53" s="1">
        <v>2014</v>
      </c>
      <c r="K53" s="4"/>
      <c r="L53" s="4"/>
      <c r="M53" s="4"/>
    </row>
    <row r="54" spans="8:13">
      <c r="H54" s="1" t="s">
        <v>384</v>
      </c>
      <c r="I54" s="1">
        <v>1992</v>
      </c>
      <c r="J54" s="1">
        <v>2014</v>
      </c>
      <c r="K54" s="4"/>
      <c r="L54" s="4"/>
      <c r="M54" s="4"/>
    </row>
    <row r="55" spans="8:13">
      <c r="H55" s="1" t="s">
        <v>385</v>
      </c>
      <c r="I55" s="1">
        <v>1964</v>
      </c>
      <c r="J55" s="1">
        <v>2014</v>
      </c>
      <c r="K55" s="4"/>
      <c r="L55" s="4"/>
      <c r="M55" s="4"/>
    </row>
    <row r="56" spans="8:13">
      <c r="H56" s="1" t="s">
        <v>386</v>
      </c>
      <c r="I56" s="1">
        <v>1992</v>
      </c>
      <c r="J56" s="1">
        <v>2014</v>
      </c>
      <c r="K56" s="4"/>
      <c r="L56" s="4"/>
      <c r="M56" s="4"/>
    </row>
    <row r="57" spans="8:13">
      <c r="H57" s="1" t="s">
        <v>387</v>
      </c>
      <c r="I57" s="1">
        <v>1994</v>
      </c>
      <c r="J57" s="1">
        <v>2014</v>
      </c>
      <c r="K57" s="4"/>
      <c r="L57" s="4"/>
      <c r="M57" s="4"/>
    </row>
    <row r="58" spans="8:13">
      <c r="H58" s="1" t="s">
        <v>388</v>
      </c>
      <c r="I58" s="1">
        <v>2002</v>
      </c>
      <c r="J58" s="1">
        <v>2014</v>
      </c>
      <c r="K58" s="4"/>
      <c r="L58" s="4"/>
      <c r="M58" s="4"/>
    </row>
    <row r="59" spans="8:13">
      <c r="H59" s="1" t="s">
        <v>293</v>
      </c>
      <c r="I59" s="1">
        <v>2010</v>
      </c>
      <c r="J59" s="1">
        <v>2014</v>
      </c>
      <c r="K59" s="4"/>
      <c r="L59" s="4"/>
      <c r="M59" s="4"/>
    </row>
    <row r="60" spans="8:13">
      <c r="H60" s="1" t="s">
        <v>389</v>
      </c>
      <c r="I60" s="1">
        <v>1992</v>
      </c>
      <c r="J60" s="1">
        <v>2014</v>
      </c>
      <c r="K60" s="4"/>
      <c r="L60" s="4"/>
      <c r="M60" s="4"/>
    </row>
    <row r="61" spans="8:13">
      <c r="H61" s="1" t="s">
        <v>390</v>
      </c>
      <c r="I61" s="1">
        <v>2002</v>
      </c>
      <c r="J61" s="1">
        <v>2014</v>
      </c>
      <c r="K61" s="4"/>
      <c r="L61" s="4"/>
      <c r="M61" s="4"/>
    </row>
    <row r="62" spans="8:13">
      <c r="H62" s="1" t="s">
        <v>391</v>
      </c>
      <c r="I62" s="1">
        <v>1992</v>
      </c>
      <c r="J62" s="1">
        <v>2014</v>
      </c>
      <c r="K62" s="4"/>
      <c r="L62" s="4"/>
      <c r="M62" s="4"/>
    </row>
    <row r="63" spans="8:13">
      <c r="H63" s="1" t="s">
        <v>392</v>
      </c>
      <c r="I63" s="1">
        <v>1998</v>
      </c>
      <c r="J63" s="1">
        <v>2014</v>
      </c>
      <c r="K63" s="4"/>
      <c r="L63" s="4"/>
      <c r="M63" s="4"/>
    </row>
    <row r="64" spans="8:13">
      <c r="H64" s="1" t="s">
        <v>269</v>
      </c>
      <c r="I64" s="1">
        <v>2014</v>
      </c>
      <c r="J64" s="1">
        <v>2014</v>
      </c>
      <c r="K64" s="4"/>
      <c r="L64" s="4"/>
      <c r="M64" s="4"/>
    </row>
    <row r="65" spans="8:13">
      <c r="H65" s="1" t="s">
        <v>311</v>
      </c>
      <c r="I65" s="1">
        <v>2006</v>
      </c>
      <c r="J65" s="1">
        <v>2014</v>
      </c>
      <c r="K65" s="4"/>
      <c r="L65" s="4"/>
      <c r="M65" s="4"/>
    </row>
    <row r="66" spans="8:13">
      <c r="H66" s="1" t="s">
        <v>393</v>
      </c>
      <c r="I66" s="1">
        <v>1998</v>
      </c>
      <c r="J66" s="1">
        <v>2014</v>
      </c>
      <c r="K66" s="4"/>
      <c r="L66" s="4"/>
      <c r="M66" s="4"/>
    </row>
    <row r="67" spans="8:13">
      <c r="H67" s="1" t="s">
        <v>292</v>
      </c>
      <c r="I67" s="1">
        <v>2010</v>
      </c>
      <c r="J67" s="1">
        <v>2014</v>
      </c>
      <c r="K67" s="4"/>
      <c r="L67" s="4"/>
      <c r="M67" s="4"/>
    </row>
    <row r="68" spans="8:13">
      <c r="H68" s="1" t="s">
        <v>294</v>
      </c>
      <c r="I68" s="1">
        <v>2010</v>
      </c>
      <c r="J68" s="1">
        <v>2014</v>
      </c>
      <c r="K68" s="4"/>
      <c r="L68" s="4"/>
      <c r="M68" s="4"/>
    </row>
    <row r="69" spans="8:13">
      <c r="H69" s="1" t="s">
        <v>268</v>
      </c>
      <c r="I69" s="1">
        <v>2014</v>
      </c>
      <c r="J69" s="1">
        <v>2014</v>
      </c>
      <c r="K69" s="4"/>
      <c r="L69" s="4"/>
      <c r="M69" s="4"/>
    </row>
    <row r="70" spans="8:13">
      <c r="H70" s="1" t="s">
        <v>313</v>
      </c>
      <c r="I70" s="1">
        <v>2006</v>
      </c>
      <c r="J70" s="1">
        <v>2014</v>
      </c>
      <c r="K70" s="4"/>
      <c r="L70" s="4"/>
      <c r="M70" s="4"/>
    </row>
    <row r="71" spans="8:13">
      <c r="H71" s="1" t="s">
        <v>394</v>
      </c>
      <c r="I71" s="1">
        <v>1924</v>
      </c>
      <c r="J71" s="1">
        <v>2014</v>
      </c>
      <c r="K71" s="4"/>
      <c r="L71" s="4"/>
      <c r="M71" s="4"/>
    </row>
    <row r="72" spans="8:13">
      <c r="H72" s="1" t="s">
        <v>307</v>
      </c>
      <c r="I72" s="1">
        <v>2006</v>
      </c>
      <c r="J72" s="1">
        <v>2014</v>
      </c>
      <c r="K72" s="4"/>
      <c r="L72" s="4"/>
      <c r="M72" s="4"/>
    </row>
    <row r="73" spans="8:13">
      <c r="H73" s="1" t="s">
        <v>275</v>
      </c>
      <c r="I73" s="1">
        <v>2014</v>
      </c>
      <c r="J73" s="1">
        <v>2014</v>
      </c>
      <c r="K73" s="4"/>
      <c r="L73" s="4"/>
      <c r="M73" s="4"/>
    </row>
    <row r="74" spans="8:13">
      <c r="H74" s="1" t="s">
        <v>264</v>
      </c>
      <c r="I74" s="1">
        <v>2014</v>
      </c>
      <c r="J74" s="1">
        <v>2014</v>
      </c>
      <c r="K74" s="4"/>
      <c r="L74" s="4"/>
      <c r="M74" s="4"/>
    </row>
    <row r="75" spans="8:13">
      <c r="H75" s="1" t="s">
        <v>304</v>
      </c>
      <c r="I75" s="1">
        <v>2006</v>
      </c>
      <c r="J75" s="1">
        <v>2014</v>
      </c>
      <c r="K75" s="4"/>
      <c r="L75" s="4"/>
      <c r="M75" s="4"/>
    </row>
    <row r="76" spans="8:13">
      <c r="H76" s="1" t="s">
        <v>266</v>
      </c>
      <c r="I76" s="1">
        <v>2014</v>
      </c>
      <c r="J76" s="1">
        <v>2014</v>
      </c>
      <c r="K76" s="4"/>
      <c r="L76" s="4"/>
      <c r="M76" s="4"/>
    </row>
    <row r="77" spans="8:13">
      <c r="H77" s="1" t="s">
        <v>395</v>
      </c>
      <c r="I77" s="1">
        <v>1994</v>
      </c>
      <c r="J77" s="1">
        <v>2014</v>
      </c>
      <c r="K77" s="4"/>
      <c r="L77" s="4"/>
      <c r="M77" s="4"/>
    </row>
    <row r="78" spans="8:13">
      <c r="H78" s="1" t="s">
        <v>396</v>
      </c>
      <c r="I78" s="1">
        <v>1998</v>
      </c>
      <c r="J78" s="1">
        <v>2014</v>
      </c>
      <c r="K78" s="4"/>
      <c r="L78" s="4"/>
      <c r="M78" s="4"/>
    </row>
    <row r="79" spans="8:13">
      <c r="H79" s="1" t="s">
        <v>309</v>
      </c>
      <c r="I79" s="1">
        <v>2006</v>
      </c>
      <c r="J79" s="1">
        <v>2014</v>
      </c>
      <c r="K79" s="4"/>
      <c r="L79" s="4"/>
      <c r="M79" s="4"/>
    </row>
    <row r="80" spans="8:13">
      <c r="H80" s="1" t="s">
        <v>397</v>
      </c>
      <c r="I80" s="1">
        <v>2002</v>
      </c>
      <c r="J80" s="1">
        <v>2014</v>
      </c>
      <c r="K80" s="4"/>
      <c r="L80" s="4"/>
      <c r="M80" s="4"/>
    </row>
    <row r="81" spans="8:13">
      <c r="H81" s="1" t="s">
        <v>276</v>
      </c>
      <c r="I81" s="1">
        <v>2014</v>
      </c>
      <c r="J81" s="1">
        <v>2014</v>
      </c>
      <c r="K81" s="4"/>
      <c r="L81" s="4"/>
      <c r="M81" s="4"/>
    </row>
    <row r="82" spans="8:13">
      <c r="H82" s="1" t="s">
        <v>273</v>
      </c>
      <c r="I82" s="1">
        <v>2014</v>
      </c>
      <c r="J82" s="1">
        <v>2014</v>
      </c>
      <c r="K82" s="4"/>
      <c r="L82" s="4"/>
      <c r="M82" s="4"/>
    </row>
    <row r="83" spans="8:13">
      <c r="H83" s="1" t="s">
        <v>314</v>
      </c>
      <c r="I83" s="1">
        <v>2006</v>
      </c>
      <c r="J83" s="1">
        <v>2014</v>
      </c>
      <c r="K83" s="4"/>
      <c r="L83" s="4"/>
      <c r="M83" s="4"/>
    </row>
    <row r="84" spans="8:13">
      <c r="H84" s="1" t="s">
        <v>277</v>
      </c>
      <c r="I84" s="1">
        <v>2014</v>
      </c>
      <c r="J84" s="1">
        <v>2014</v>
      </c>
      <c r="K84" s="4"/>
      <c r="L84" s="4"/>
      <c r="M84" s="4"/>
    </row>
    <row r="85" spans="8:13">
      <c r="H85" s="1" t="s">
        <v>323</v>
      </c>
      <c r="I85" s="1">
        <v>2002</v>
      </c>
      <c r="J85" s="1">
        <v>2014</v>
      </c>
      <c r="K85" s="4"/>
      <c r="L85" s="4"/>
      <c r="M85" s="4"/>
    </row>
    <row r="86" spans="8:13">
      <c r="H86" s="1" t="s">
        <v>306</v>
      </c>
      <c r="I86" s="1">
        <v>2006</v>
      </c>
      <c r="J86" s="1">
        <v>2014</v>
      </c>
      <c r="K86" s="4"/>
      <c r="L86" s="4"/>
      <c r="M86" s="4"/>
    </row>
    <row r="87" spans="8:13">
      <c r="H87" s="1" t="s">
        <v>272</v>
      </c>
      <c r="I87" s="1">
        <v>2014</v>
      </c>
      <c r="J87" s="1">
        <v>2014</v>
      </c>
      <c r="K87" s="4"/>
      <c r="L87" s="4"/>
      <c r="M87" s="4"/>
    </row>
    <row r="88" spans="8:13">
      <c r="H88" s="1" t="s">
        <v>324</v>
      </c>
      <c r="I88" s="1">
        <v>2002</v>
      </c>
      <c r="J88" s="1">
        <v>2014</v>
      </c>
      <c r="K88" s="4"/>
      <c r="L88" s="4"/>
      <c r="M88" s="4"/>
    </row>
    <row r="89" spans="8:13">
      <c r="H89" s="1" t="s">
        <v>312</v>
      </c>
      <c r="I89" s="1">
        <v>2006</v>
      </c>
      <c r="J89" s="1">
        <v>2014</v>
      </c>
      <c r="K89" s="4"/>
      <c r="L89" s="4"/>
      <c r="M89" s="4"/>
    </row>
    <row r="90" spans="8:13">
      <c r="H90" s="1" t="s">
        <v>398</v>
      </c>
      <c r="I90" s="1">
        <v>1994</v>
      </c>
      <c r="J90" s="1">
        <v>2014</v>
      </c>
      <c r="K90" s="4"/>
      <c r="L90" s="4"/>
      <c r="M90" s="4"/>
    </row>
    <row r="91" spans="8:13">
      <c r="H91" s="1" t="s">
        <v>270</v>
      </c>
      <c r="I91" s="1">
        <v>2014</v>
      </c>
      <c r="J91" s="1">
        <v>2014</v>
      </c>
      <c r="K91" s="4"/>
      <c r="L91" s="4"/>
      <c r="M91" s="4"/>
    </row>
    <row r="92" spans="8:13">
      <c r="H92" s="1" t="s">
        <v>271</v>
      </c>
      <c r="I92" s="1">
        <v>2014</v>
      </c>
      <c r="J92" s="1">
        <v>2014</v>
      </c>
      <c r="K92" s="4"/>
      <c r="L92" s="4"/>
      <c r="M92" s="4"/>
    </row>
    <row r="93" spans="8:13">
      <c r="H93" s="1" t="s">
        <v>399</v>
      </c>
      <c r="I93" s="1">
        <v>1998</v>
      </c>
      <c r="J93" s="1">
        <v>2014</v>
      </c>
      <c r="K93" s="4"/>
      <c r="L93" s="4"/>
      <c r="M93" s="4"/>
    </row>
    <row r="94" spans="8:13">
      <c r="H94" s="1" t="s">
        <v>305</v>
      </c>
      <c r="I94" s="1">
        <v>2006</v>
      </c>
      <c r="J94" s="1">
        <v>2014</v>
      </c>
      <c r="K94" s="4"/>
      <c r="L94" s="4"/>
      <c r="M94" s="4"/>
    </row>
    <row r="95" spans="8:13">
      <c r="H95" s="1" t="s">
        <v>295</v>
      </c>
      <c r="I95" s="1">
        <v>2010</v>
      </c>
      <c r="J95" s="1">
        <v>2014</v>
      </c>
      <c r="K95" s="4"/>
      <c r="L95" s="4"/>
      <c r="M95" s="4"/>
    </row>
    <row r="96" spans="8:13">
      <c r="H96" s="1" t="s">
        <v>400</v>
      </c>
      <c r="I96" s="1">
        <v>2002</v>
      </c>
      <c r="J96" s="1">
        <v>2014</v>
      </c>
      <c r="K96" s="4"/>
      <c r="L96" s="4"/>
      <c r="M96" s="4"/>
    </row>
    <row r="97" spans="8:13">
      <c r="H97" s="1" t="s">
        <v>401</v>
      </c>
      <c r="I97" s="1">
        <v>2002</v>
      </c>
      <c r="J97" s="1">
        <v>2014</v>
      </c>
      <c r="K97" s="4"/>
      <c r="L97" s="4"/>
      <c r="M97" s="4"/>
    </row>
    <row r="98" spans="8:13">
      <c r="H98" s="1" t="s">
        <v>274</v>
      </c>
      <c r="I98" s="1">
        <v>2014</v>
      </c>
      <c r="J98" s="1">
        <v>2014</v>
      </c>
      <c r="K98" s="4"/>
      <c r="L98" s="4"/>
      <c r="M98" s="4"/>
    </row>
    <row r="99" spans="8:13">
      <c r="H99" s="1" t="s">
        <v>322</v>
      </c>
      <c r="I99" s="1">
        <v>2002</v>
      </c>
      <c r="J99" s="1">
        <v>2014</v>
      </c>
      <c r="K99" s="4"/>
      <c r="L99" s="4"/>
      <c r="M99" s="4"/>
    </row>
    <row r="100" spans="8:13">
      <c r="H100" s="1" t="s">
        <v>310</v>
      </c>
      <c r="I100" s="1">
        <v>2006</v>
      </c>
      <c r="J100" s="1">
        <v>2014</v>
      </c>
      <c r="K100" s="4"/>
      <c r="L100" s="4"/>
      <c r="M100" s="4"/>
    </row>
    <row r="101" spans="8:13">
      <c r="H101" s="1" t="s">
        <v>308</v>
      </c>
      <c r="I101" s="1">
        <v>2006</v>
      </c>
      <c r="J101" s="1">
        <v>2014</v>
      </c>
      <c r="K101" s="4"/>
      <c r="L101" s="4"/>
      <c r="M101" s="4"/>
    </row>
    <row r="102" spans="8:13">
      <c r="H102" s="1" t="s">
        <v>402</v>
      </c>
      <c r="I102" s="1">
        <v>1906</v>
      </c>
      <c r="J102" s="1">
        <v>2012</v>
      </c>
      <c r="K102" s="4"/>
      <c r="L102" s="4"/>
      <c r="M102" s="4"/>
    </row>
    <row r="103" spans="8:13">
      <c r="H103" s="1" t="s">
        <v>403</v>
      </c>
      <c r="I103" s="1">
        <v>1906</v>
      </c>
      <c r="J103" s="1">
        <v>2012</v>
      </c>
      <c r="K103" s="4"/>
      <c r="L103" s="4"/>
      <c r="M103" s="4"/>
    </row>
    <row r="104" spans="8:13">
      <c r="H104" s="1" t="s">
        <v>404</v>
      </c>
      <c r="I104" s="1">
        <v>1904</v>
      </c>
      <c r="J104" s="1">
        <v>2012</v>
      </c>
      <c r="K104" s="4"/>
      <c r="L104" s="4"/>
      <c r="M104" s="4"/>
    </row>
    <row r="105" spans="8:13">
      <c r="H105" s="1" t="s">
        <v>405</v>
      </c>
      <c r="I105" s="1">
        <v>1960</v>
      </c>
      <c r="J105" s="1">
        <v>2012</v>
      </c>
      <c r="K105" s="4"/>
      <c r="L105" s="4"/>
      <c r="M105" s="4"/>
    </row>
    <row r="106" spans="8:13">
      <c r="H106" s="1" t="s">
        <v>316</v>
      </c>
      <c r="I106" s="1">
        <v>2004</v>
      </c>
      <c r="J106" s="1">
        <v>2012</v>
      </c>
      <c r="K106" s="4"/>
      <c r="L106" s="4"/>
      <c r="M106" s="4"/>
    </row>
    <row r="107" spans="8:13">
      <c r="H107" s="1" t="s">
        <v>317</v>
      </c>
      <c r="I107" s="1">
        <v>2004</v>
      </c>
      <c r="J107" s="1">
        <v>2012</v>
      </c>
      <c r="K107" s="4"/>
      <c r="L107" s="4"/>
      <c r="M107" s="4"/>
    </row>
    <row r="108" spans="8:13">
      <c r="H108" s="1" t="s">
        <v>406</v>
      </c>
      <c r="I108" s="1">
        <v>1900</v>
      </c>
      <c r="J108" s="1">
        <v>2008</v>
      </c>
      <c r="K108" s="4"/>
      <c r="L108" s="4"/>
      <c r="M108" s="4"/>
    </row>
    <row r="109" spans="8:13">
      <c r="H109" s="1" t="s">
        <v>407</v>
      </c>
      <c r="I109" s="1">
        <v>1924</v>
      </c>
      <c r="J109" s="1">
        <v>2008</v>
      </c>
      <c r="K109" s="4"/>
      <c r="L109" s="4"/>
      <c r="M109" s="4"/>
    </row>
    <row r="110" spans="8:13">
      <c r="H110" s="1" t="s">
        <v>408</v>
      </c>
      <c r="I110" s="1">
        <v>1904</v>
      </c>
      <c r="J110" s="1">
        <v>2008</v>
      </c>
      <c r="K110" s="4"/>
      <c r="L110" s="4"/>
      <c r="M110" s="4"/>
    </row>
    <row r="111" spans="8:13">
      <c r="H111" s="1" t="s">
        <v>409</v>
      </c>
      <c r="I111" s="1">
        <v>1964</v>
      </c>
      <c r="J111" s="1">
        <v>2008</v>
      </c>
      <c r="K111" s="4"/>
      <c r="L111" s="4"/>
      <c r="M111" s="4"/>
    </row>
    <row r="112" spans="8:13">
      <c r="H112" s="1" t="s">
        <v>410</v>
      </c>
      <c r="I112" s="1">
        <v>2000</v>
      </c>
      <c r="J112" s="1">
        <v>2008</v>
      </c>
      <c r="K112" s="4"/>
      <c r="L112" s="4"/>
      <c r="M112" s="4"/>
    </row>
    <row r="113" spans="8:13">
      <c r="H113" s="1" t="s">
        <v>411</v>
      </c>
      <c r="I113" s="1">
        <v>1992</v>
      </c>
      <c r="J113" s="1">
        <v>2008</v>
      </c>
      <c r="K113" s="4"/>
      <c r="L113" s="4"/>
      <c r="M113" s="4"/>
    </row>
    <row r="114" spans="8:13">
      <c r="H114" s="1" t="s">
        <v>412</v>
      </c>
      <c r="I114" s="1">
        <v>1976</v>
      </c>
      <c r="J114" s="1">
        <v>2008</v>
      </c>
      <c r="K114" s="4"/>
      <c r="L114" s="4"/>
      <c r="M114" s="4"/>
    </row>
    <row r="115" spans="8:13">
      <c r="H115" s="1" t="s">
        <v>413</v>
      </c>
      <c r="I115" s="1">
        <v>1976</v>
      </c>
      <c r="J115" s="1">
        <v>2008</v>
      </c>
      <c r="K115" s="4"/>
      <c r="L115" s="4"/>
      <c r="M115" s="4"/>
    </row>
    <row r="116" spans="8:13">
      <c r="H116" s="1" t="s">
        <v>414</v>
      </c>
      <c r="I116" s="1">
        <v>1976</v>
      </c>
      <c r="J116" s="1">
        <v>2008</v>
      </c>
      <c r="K116" s="4"/>
      <c r="L116" s="4"/>
      <c r="M116" s="4"/>
    </row>
    <row r="117" spans="8:13">
      <c r="H117" s="1" t="s">
        <v>415</v>
      </c>
      <c r="I117" s="1">
        <v>1976</v>
      </c>
      <c r="J117" s="1">
        <v>2008</v>
      </c>
      <c r="K117" s="4"/>
      <c r="L117" s="4"/>
      <c r="M117" s="4"/>
    </row>
    <row r="118" spans="8:13">
      <c r="H118" s="1" t="s">
        <v>416</v>
      </c>
      <c r="I118" s="1">
        <v>1996</v>
      </c>
      <c r="J118" s="1">
        <v>2008</v>
      </c>
      <c r="K118" s="4"/>
      <c r="L118" s="4"/>
      <c r="M118" s="4"/>
    </row>
    <row r="119" spans="8:13">
      <c r="H119" s="1" t="s">
        <v>417</v>
      </c>
      <c r="I119" s="1">
        <v>1996</v>
      </c>
      <c r="J119" s="1">
        <v>2008</v>
      </c>
      <c r="K119" s="4"/>
      <c r="L119" s="4"/>
      <c r="M119" s="4"/>
    </row>
    <row r="120" spans="8:13">
      <c r="H120" s="1" t="s">
        <v>418</v>
      </c>
      <c r="I120" s="1">
        <v>1992</v>
      </c>
      <c r="J120" s="1">
        <v>2008</v>
      </c>
      <c r="K120" s="4"/>
      <c r="L120" s="4"/>
      <c r="M120" s="4"/>
    </row>
    <row r="121" spans="8:13">
      <c r="H121" s="1" t="s">
        <v>419</v>
      </c>
      <c r="I121" s="1">
        <v>2000</v>
      </c>
      <c r="J121" s="1">
        <v>2008</v>
      </c>
      <c r="K121" s="4"/>
      <c r="L121" s="4"/>
      <c r="M121" s="4"/>
    </row>
    <row r="122" spans="8:13">
      <c r="H122" s="1" t="s">
        <v>420</v>
      </c>
      <c r="I122" s="1">
        <v>1924</v>
      </c>
      <c r="J122" s="1">
        <v>2006</v>
      </c>
      <c r="K122" s="4"/>
      <c r="L122" s="4"/>
      <c r="M122" s="4"/>
    </row>
    <row r="123" spans="8:13">
      <c r="H123" s="1" t="s">
        <v>421</v>
      </c>
      <c r="I123" s="1">
        <v>2002</v>
      </c>
      <c r="J123" s="1">
        <v>2006</v>
      </c>
      <c r="K123" s="4"/>
      <c r="L123" s="4"/>
      <c r="M123" s="4"/>
    </row>
    <row r="124" spans="8:13">
      <c r="H124" s="1" t="s">
        <v>422</v>
      </c>
      <c r="I124" s="1">
        <v>1928</v>
      </c>
      <c r="J124" s="1">
        <v>2004</v>
      </c>
      <c r="K124" s="4"/>
      <c r="L124" s="4"/>
      <c r="M124" s="4"/>
    </row>
    <row r="125" spans="8:13">
      <c r="H125" s="1" t="s">
        <v>423</v>
      </c>
      <c r="I125" s="1">
        <v>1988</v>
      </c>
      <c r="J125" s="1">
        <v>2004</v>
      </c>
      <c r="K125" s="4"/>
      <c r="L125" s="4"/>
      <c r="M125" s="4"/>
    </row>
    <row r="126" spans="8:13">
      <c r="H126" s="1" t="s">
        <v>424</v>
      </c>
      <c r="I126" s="1">
        <v>1992</v>
      </c>
      <c r="J126" s="1">
        <v>2004</v>
      </c>
      <c r="K126" s="4"/>
      <c r="L126" s="4"/>
      <c r="M126" s="4"/>
    </row>
    <row r="127" spans="8:13">
      <c r="H127" s="1" t="s">
        <v>425</v>
      </c>
      <c r="I127" s="1">
        <v>1988</v>
      </c>
      <c r="J127" s="1">
        <v>2004</v>
      </c>
      <c r="K127" s="4"/>
      <c r="L127" s="4"/>
      <c r="M127" s="4"/>
    </row>
    <row r="128" spans="8:13">
      <c r="H128" s="1" t="s">
        <v>426</v>
      </c>
      <c r="I128" s="1">
        <v>1996</v>
      </c>
      <c r="J128" s="1">
        <v>2004</v>
      </c>
      <c r="K128" s="4"/>
      <c r="L128" s="4"/>
      <c r="M128" s="4"/>
    </row>
    <row r="129" spans="8:13">
      <c r="H129" s="1" t="s">
        <v>427</v>
      </c>
      <c r="I129" s="1">
        <v>2000</v>
      </c>
      <c r="J129" s="1">
        <v>2004</v>
      </c>
      <c r="K129" s="4"/>
      <c r="L129" s="4"/>
      <c r="M129" s="4"/>
    </row>
    <row r="130" spans="8:13">
      <c r="H130" s="1" t="s">
        <v>428</v>
      </c>
      <c r="I130" s="1">
        <v>1956</v>
      </c>
      <c r="J130" s="1">
        <v>2002</v>
      </c>
      <c r="K130" s="4"/>
      <c r="L130" s="4"/>
      <c r="M130" s="4"/>
    </row>
    <row r="131" spans="8:13">
      <c r="H131" s="1" t="s">
        <v>325</v>
      </c>
      <c r="I131" s="1">
        <v>2002</v>
      </c>
      <c r="J131" s="1">
        <v>2002</v>
      </c>
      <c r="K131" s="4"/>
      <c r="L131" s="4"/>
      <c r="M131" s="4"/>
    </row>
    <row r="132" spans="8:13">
      <c r="H132" s="1" t="s">
        <v>429</v>
      </c>
      <c r="I132" s="1">
        <v>1992</v>
      </c>
      <c r="J132" s="1">
        <v>2002</v>
      </c>
      <c r="K132" s="4"/>
      <c r="L132" s="4"/>
      <c r="M132" s="4"/>
    </row>
    <row r="133" spans="8:13">
      <c r="H133" s="1" t="s">
        <v>430</v>
      </c>
      <c r="I133" s="1">
        <v>2002</v>
      </c>
      <c r="J133" s="1">
        <v>2002</v>
      </c>
      <c r="K133" s="4"/>
      <c r="L133" s="4"/>
      <c r="M133" s="4"/>
    </row>
    <row r="134" spans="8:13">
      <c r="H134" s="1" t="s">
        <v>431</v>
      </c>
      <c r="I134" s="1">
        <v>1994</v>
      </c>
      <c r="J134" s="1">
        <v>2002</v>
      </c>
      <c r="K134" s="4"/>
      <c r="L134" s="4"/>
      <c r="M134" s="4"/>
    </row>
    <row r="135" spans="8:13">
      <c r="H135" s="1" t="s">
        <v>432</v>
      </c>
      <c r="I135" s="1">
        <v>1904</v>
      </c>
      <c r="J135" s="1">
        <v>2000</v>
      </c>
      <c r="K135" s="4"/>
      <c r="L135" s="4"/>
      <c r="M135" s="4"/>
    </row>
    <row r="136" spans="8:13">
      <c r="H136" s="1" t="s">
        <v>433</v>
      </c>
      <c r="I136" s="1">
        <v>1924</v>
      </c>
      <c r="J136" s="1">
        <v>2000</v>
      </c>
      <c r="K136" s="4"/>
      <c r="L136" s="4"/>
      <c r="M136" s="4"/>
    </row>
    <row r="137" spans="8:13">
      <c r="H137" s="1" t="s">
        <v>434</v>
      </c>
      <c r="I137" s="1">
        <v>1932</v>
      </c>
      <c r="J137" s="1">
        <v>2000</v>
      </c>
      <c r="K137" s="4"/>
      <c r="L137" s="4"/>
      <c r="M137" s="4"/>
    </row>
    <row r="138" spans="8:13">
      <c r="H138" s="1" t="s">
        <v>435</v>
      </c>
      <c r="I138" s="1">
        <v>1948</v>
      </c>
      <c r="J138" s="1">
        <v>2000</v>
      </c>
      <c r="K138" s="4"/>
      <c r="L138" s="4"/>
      <c r="M138" s="4"/>
    </row>
    <row r="139" spans="8:13">
      <c r="H139" s="1" t="s">
        <v>436</v>
      </c>
      <c r="I139" s="1">
        <v>1952</v>
      </c>
      <c r="J139" s="1">
        <v>2000</v>
      </c>
      <c r="K139" s="4"/>
      <c r="L139" s="4"/>
      <c r="M139" s="4"/>
    </row>
    <row r="140" spans="8:13">
      <c r="H140" s="1" t="s">
        <v>437</v>
      </c>
      <c r="I140" s="1">
        <v>1992</v>
      </c>
      <c r="J140" s="1">
        <v>1998</v>
      </c>
      <c r="K140" s="4"/>
      <c r="L140" s="4"/>
      <c r="M140" s="4"/>
    </row>
    <row r="141" spans="8:13">
      <c r="H141" s="1" t="s">
        <v>438</v>
      </c>
      <c r="I141" s="1">
        <v>1992</v>
      </c>
      <c r="J141" s="1">
        <v>1998</v>
      </c>
      <c r="K141" s="4"/>
      <c r="L141" s="4"/>
      <c r="M141" s="4"/>
    </row>
    <row r="142" spans="8:13">
      <c r="H142" s="1" t="s">
        <v>439</v>
      </c>
      <c r="I142" s="1">
        <v>1964</v>
      </c>
      <c r="J142" s="1">
        <v>1998</v>
      </c>
      <c r="K142" s="4"/>
      <c r="L142" s="4"/>
      <c r="M142" s="4"/>
    </row>
    <row r="143" spans="8:13">
      <c r="H143" s="1" t="s">
        <v>440</v>
      </c>
      <c r="I143" s="1">
        <v>1992</v>
      </c>
      <c r="J143" s="1">
        <v>1998</v>
      </c>
      <c r="K143" s="4"/>
      <c r="L143" s="4"/>
      <c r="M143" s="4"/>
    </row>
    <row r="144" spans="8:13">
      <c r="H144" s="1" t="s">
        <v>441</v>
      </c>
      <c r="I144" s="1">
        <v>1998</v>
      </c>
      <c r="J144" s="1">
        <v>1998</v>
      </c>
      <c r="K144" s="4"/>
      <c r="L144" s="4"/>
      <c r="M144" s="4"/>
    </row>
    <row r="145" spans="8:13">
      <c r="H145" s="1" t="s">
        <v>442</v>
      </c>
      <c r="I145" s="1">
        <v>1998</v>
      </c>
      <c r="J145" s="1">
        <v>1998</v>
      </c>
      <c r="K145" s="4"/>
      <c r="L145" s="4"/>
      <c r="M145" s="4"/>
    </row>
    <row r="146" spans="8:13">
      <c r="H146" s="1" t="s">
        <v>443</v>
      </c>
      <c r="I146" s="1">
        <v>1904</v>
      </c>
      <c r="J146" s="1">
        <v>1996</v>
      </c>
      <c r="K146" s="4"/>
      <c r="L146" s="4"/>
      <c r="M146" s="4"/>
    </row>
    <row r="147" spans="8:13">
      <c r="H147" s="1" t="s">
        <v>444</v>
      </c>
      <c r="I147" s="1">
        <v>1948</v>
      </c>
      <c r="J147" s="1">
        <v>1996</v>
      </c>
      <c r="K147" s="4"/>
      <c r="L147" s="4"/>
      <c r="M147" s="4"/>
    </row>
    <row r="148" spans="8:13">
      <c r="H148" s="1" t="s">
        <v>445</v>
      </c>
      <c r="I148" s="1">
        <v>1904</v>
      </c>
      <c r="J148" s="1">
        <v>1996</v>
      </c>
      <c r="K148" s="4"/>
      <c r="L148" s="4"/>
      <c r="M148" s="4"/>
    </row>
    <row r="149" spans="8:13">
      <c r="H149" s="1" t="s">
        <v>446</v>
      </c>
      <c r="I149" s="1">
        <v>1972</v>
      </c>
      <c r="J149" s="1">
        <v>1996</v>
      </c>
      <c r="K149" s="4"/>
      <c r="L149" s="4"/>
      <c r="M149" s="4"/>
    </row>
    <row r="150" spans="8:13">
      <c r="H150" s="1" t="s">
        <v>447</v>
      </c>
      <c r="I150" s="1">
        <v>1972</v>
      </c>
      <c r="J150" s="1">
        <v>1996</v>
      </c>
      <c r="K150" s="4"/>
      <c r="L150" s="4"/>
      <c r="M150" s="4"/>
    </row>
    <row r="151" spans="8:13">
      <c r="H151" s="1" t="s">
        <v>448</v>
      </c>
      <c r="I151" s="1">
        <v>1980</v>
      </c>
      <c r="J151" s="1">
        <v>1996</v>
      </c>
      <c r="K151" s="4"/>
      <c r="L151" s="4"/>
      <c r="M151" s="4"/>
    </row>
    <row r="152" spans="8:13">
      <c r="H152" s="1" t="s">
        <v>449</v>
      </c>
      <c r="I152" s="1">
        <v>1980</v>
      </c>
      <c r="J152" s="1">
        <v>1996</v>
      </c>
      <c r="K152" s="4"/>
      <c r="L152" s="4"/>
      <c r="M152" s="4"/>
    </row>
    <row r="153" spans="8:13">
      <c r="H153" s="1" t="s">
        <v>450</v>
      </c>
      <c r="I153" s="1">
        <v>1992</v>
      </c>
      <c r="J153" s="1">
        <v>1996</v>
      </c>
      <c r="K153" s="4"/>
      <c r="L153" s="4"/>
      <c r="M153" s="4"/>
    </row>
    <row r="154" spans="8:13">
      <c r="H154" s="1" t="s">
        <v>451</v>
      </c>
      <c r="I154" s="1">
        <v>1900</v>
      </c>
      <c r="J154" s="1">
        <v>1992</v>
      </c>
      <c r="K154" s="4"/>
      <c r="L154" s="4"/>
      <c r="M154" s="4"/>
    </row>
    <row r="155" spans="8:13">
      <c r="H155" s="1" t="s">
        <v>452</v>
      </c>
      <c r="I155" s="1">
        <v>1900</v>
      </c>
      <c r="J155" s="1">
        <v>1992</v>
      </c>
      <c r="K155" s="4"/>
      <c r="L155" s="4"/>
      <c r="M155" s="4"/>
    </row>
    <row r="156" spans="8:13">
      <c r="H156" s="1" t="s">
        <v>453</v>
      </c>
      <c r="I156" s="1">
        <v>1956</v>
      </c>
      <c r="J156" s="1">
        <v>1992</v>
      </c>
      <c r="K156" s="4"/>
      <c r="L156" s="4"/>
      <c r="M156" s="4"/>
    </row>
    <row r="157" spans="8:13">
      <c r="H157" s="1" t="s">
        <v>454</v>
      </c>
      <c r="I157" s="1">
        <v>1968</v>
      </c>
      <c r="J157" s="1">
        <v>1992</v>
      </c>
      <c r="K157" s="4"/>
      <c r="L157" s="4"/>
      <c r="M157" s="4"/>
    </row>
    <row r="158" spans="8:13">
      <c r="H158" s="1" t="s">
        <v>455</v>
      </c>
      <c r="I158" s="1">
        <v>1960</v>
      </c>
      <c r="J158" s="1">
        <v>1992</v>
      </c>
      <c r="K158" s="4"/>
      <c r="L158" s="4"/>
      <c r="M158" s="4"/>
    </row>
    <row r="159" spans="8:13">
      <c r="H159" s="1" t="s">
        <v>456</v>
      </c>
      <c r="I159" s="1">
        <v>1968</v>
      </c>
      <c r="J159" s="1">
        <v>1992</v>
      </c>
      <c r="K159" s="4"/>
      <c r="L159" s="4"/>
      <c r="M159" s="4"/>
    </row>
    <row r="160" spans="8:13">
      <c r="H160" s="1" t="s">
        <v>457</v>
      </c>
      <c r="I160" s="1">
        <v>1952</v>
      </c>
      <c r="J160" s="1">
        <v>1992</v>
      </c>
      <c r="K160" s="4"/>
      <c r="L160" s="4"/>
      <c r="M160" s="4"/>
    </row>
    <row r="161" spans="8:13">
      <c r="H161" s="1" t="s">
        <v>458</v>
      </c>
      <c r="I161" s="1">
        <v>1992</v>
      </c>
      <c r="J161" s="1">
        <v>1992</v>
      </c>
      <c r="K161" s="4"/>
      <c r="L161" s="4"/>
      <c r="M161" s="4"/>
    </row>
    <row r="162" spans="8:13">
      <c r="H162" s="1" t="s">
        <v>459</v>
      </c>
      <c r="I162" s="1">
        <v>1984</v>
      </c>
      <c r="J162" s="1">
        <v>1992</v>
      </c>
      <c r="K162" s="4"/>
      <c r="L162" s="4"/>
      <c r="M162" s="4"/>
    </row>
    <row r="163" spans="8:13">
      <c r="H163" s="1" t="s">
        <v>460</v>
      </c>
      <c r="I163" s="1">
        <v>1992</v>
      </c>
      <c r="J163" s="1">
        <v>1992</v>
      </c>
      <c r="K163" s="4"/>
      <c r="L163" s="4"/>
      <c r="M163" s="4"/>
    </row>
    <row r="164" spans="8:13">
      <c r="H164" s="1" t="s">
        <v>461</v>
      </c>
      <c r="I164" s="1">
        <v>1984</v>
      </c>
      <c r="J164" s="1">
        <v>1992</v>
      </c>
      <c r="K164" s="4"/>
      <c r="L164" s="4"/>
      <c r="M164" s="4"/>
    </row>
    <row r="165" spans="8:13">
      <c r="H165" s="1" t="s">
        <v>462</v>
      </c>
      <c r="I165" s="1">
        <v>1988</v>
      </c>
      <c r="J165" s="1">
        <v>1988</v>
      </c>
      <c r="K165" s="4"/>
      <c r="L165" s="4"/>
      <c r="M165" s="4"/>
    </row>
    <row r="166" spans="8:13">
      <c r="H166" s="1" t="s">
        <v>463</v>
      </c>
      <c r="I166" s="1">
        <v>1984</v>
      </c>
      <c r="J166" s="1">
        <v>1988</v>
      </c>
      <c r="K166" s="4"/>
      <c r="L166" s="4"/>
      <c r="M166" s="4"/>
    </row>
    <row r="167" spans="8:13">
      <c r="H167" s="1" t="s">
        <v>464</v>
      </c>
      <c r="I167" s="1">
        <v>1976</v>
      </c>
      <c r="J167" s="1">
        <v>1988</v>
      </c>
      <c r="K167" s="4"/>
      <c r="L167" s="4"/>
      <c r="M167" s="4"/>
    </row>
    <row r="168" spans="8:13">
      <c r="H168" s="1" t="s">
        <v>465</v>
      </c>
      <c r="I168" s="1">
        <v>1984</v>
      </c>
      <c r="J168" s="1">
        <v>1988</v>
      </c>
      <c r="K168" s="4"/>
      <c r="L168" s="4"/>
      <c r="M168" s="4"/>
    </row>
    <row r="169" spans="8:13">
      <c r="H169" s="1" t="s">
        <v>466</v>
      </c>
      <c r="I169" s="1">
        <v>1964</v>
      </c>
      <c r="J169" s="1">
        <v>1984</v>
      </c>
      <c r="K169" s="4"/>
      <c r="L169" s="4"/>
      <c r="M169" s="4"/>
    </row>
    <row r="170" spans="8:13">
      <c r="H170" s="1" t="s">
        <v>467</v>
      </c>
      <c r="I170" s="1">
        <v>1976</v>
      </c>
      <c r="J170" s="1">
        <v>1984</v>
      </c>
      <c r="K170" s="4"/>
      <c r="L170" s="4"/>
      <c r="M170" s="4"/>
    </row>
    <row r="171" spans="8:13">
      <c r="H171" s="1" t="s">
        <v>468</v>
      </c>
      <c r="I171" s="1">
        <v>1976</v>
      </c>
      <c r="J171" s="1">
        <v>1984</v>
      </c>
      <c r="K171" s="4"/>
      <c r="L171" s="4"/>
      <c r="M171" s="4"/>
    </row>
    <row r="172" spans="8:13">
      <c r="H172" s="1" t="s">
        <v>469</v>
      </c>
      <c r="I172" s="1">
        <v>1968</v>
      </c>
      <c r="J172" s="1">
        <v>1980</v>
      </c>
      <c r="K172" s="4"/>
      <c r="L172" s="4"/>
      <c r="M172" s="4"/>
    </row>
    <row r="173" spans="8:13">
      <c r="H173" s="1" t="s">
        <v>470</v>
      </c>
      <c r="I173" s="1">
        <v>1972</v>
      </c>
      <c r="J173" s="1">
        <v>1980</v>
      </c>
      <c r="K173" s="4"/>
      <c r="L173" s="4"/>
      <c r="M173" s="4"/>
    </row>
    <row r="174" spans="8:13">
      <c r="H174" s="1" t="s">
        <v>471</v>
      </c>
      <c r="I174" s="1">
        <v>1968</v>
      </c>
      <c r="J174" s="1">
        <v>1980</v>
      </c>
      <c r="K174" s="4"/>
      <c r="L174" s="4"/>
      <c r="M174" s="4"/>
    </row>
    <row r="175" spans="8:13">
      <c r="H175" s="1" t="s">
        <v>472</v>
      </c>
      <c r="I175" s="1">
        <v>1964</v>
      </c>
      <c r="J175" s="1">
        <v>1980</v>
      </c>
      <c r="K175" s="4"/>
      <c r="L175" s="4"/>
      <c r="M175" s="4"/>
    </row>
    <row r="176" spans="8:13">
      <c r="H176" s="1" t="s">
        <v>473</v>
      </c>
      <c r="I176" s="1">
        <v>1968</v>
      </c>
      <c r="J176" s="1">
        <v>1980</v>
      </c>
      <c r="K176" s="4"/>
      <c r="L176" s="4"/>
      <c r="M176" s="4"/>
    </row>
    <row r="177" spans="8:13">
      <c r="H177" s="1" t="s">
        <v>474</v>
      </c>
      <c r="I177" s="1">
        <v>1968</v>
      </c>
      <c r="J177" s="1">
        <v>1980</v>
      </c>
      <c r="K177" s="4"/>
      <c r="L177" s="4"/>
      <c r="M177" s="4"/>
    </row>
    <row r="178" spans="8:13">
      <c r="H178" s="1" t="s">
        <v>475</v>
      </c>
      <c r="I178" s="1">
        <v>1906</v>
      </c>
      <c r="J178" s="1">
        <v>1972</v>
      </c>
      <c r="K178" s="4"/>
      <c r="L178" s="4"/>
      <c r="M178" s="4"/>
    </row>
    <row r="179" spans="8:13">
      <c r="H179" s="1" t="s">
        <v>476</v>
      </c>
      <c r="I179" s="1">
        <v>1956</v>
      </c>
      <c r="J179" s="1">
        <v>1972</v>
      </c>
      <c r="K179" s="4"/>
      <c r="L179" s="4"/>
      <c r="M179" s="4"/>
    </row>
    <row r="180" spans="8:13">
      <c r="H180" s="1" t="s">
        <v>477</v>
      </c>
      <c r="I180" s="1">
        <v>1968</v>
      </c>
      <c r="J180" s="1">
        <v>1972</v>
      </c>
      <c r="K180" s="4"/>
      <c r="L180" s="4"/>
      <c r="M180" s="4"/>
    </row>
    <row r="181" spans="8:13">
      <c r="H181" s="1" t="s">
        <v>478</v>
      </c>
      <c r="I181" s="1">
        <v>1952</v>
      </c>
      <c r="J181" s="1">
        <v>1968</v>
      </c>
      <c r="K181" s="4"/>
      <c r="L181" s="4"/>
      <c r="M181" s="4"/>
    </row>
    <row r="182" spans="8:13">
      <c r="H182" s="1" t="s">
        <v>479</v>
      </c>
      <c r="I182" s="1">
        <v>1932</v>
      </c>
      <c r="J182" s="1">
        <v>1968</v>
      </c>
      <c r="K182" s="4"/>
      <c r="L182" s="4"/>
      <c r="M182" s="4"/>
    </row>
    <row r="183" spans="8:13">
      <c r="H183" s="1" t="s">
        <v>480</v>
      </c>
      <c r="I183" s="1">
        <v>1896</v>
      </c>
      <c r="J183" s="1">
        <v>1964</v>
      </c>
      <c r="K183" s="4"/>
      <c r="L183" s="4"/>
      <c r="M183" s="4"/>
    </row>
    <row r="184" spans="8:13">
      <c r="H184" s="1" t="s">
        <v>481</v>
      </c>
      <c r="I184" s="1">
        <v>1912</v>
      </c>
      <c r="J184" s="1">
        <v>1960</v>
      </c>
      <c r="K184" s="4"/>
      <c r="L184" s="4"/>
      <c r="M184" s="4"/>
    </row>
    <row r="185" spans="8:13">
      <c r="H185" s="1" t="s">
        <v>482</v>
      </c>
      <c r="I185" s="1">
        <v>1912</v>
      </c>
      <c r="J185" s="1">
        <v>1960</v>
      </c>
      <c r="K185" s="4"/>
      <c r="L185" s="4"/>
      <c r="M185" s="4"/>
    </row>
    <row r="186" spans="8:13">
      <c r="H186" s="1" t="s">
        <v>483</v>
      </c>
      <c r="I186" s="1">
        <v>1960</v>
      </c>
      <c r="J186" s="1">
        <v>1960</v>
      </c>
      <c r="K186" s="4"/>
      <c r="L186" s="4"/>
      <c r="M186" s="4"/>
    </row>
    <row r="187" spans="8:13">
      <c r="H187" s="1" t="s">
        <v>484</v>
      </c>
      <c r="I187" s="1">
        <v>1912</v>
      </c>
      <c r="J187" s="1">
        <v>1956</v>
      </c>
      <c r="K187" s="4"/>
      <c r="L187" s="4"/>
      <c r="M187" s="4"/>
    </row>
    <row r="188" spans="8:13">
      <c r="H188" s="1" t="s">
        <v>485</v>
      </c>
      <c r="I188" s="1">
        <v>1952</v>
      </c>
      <c r="J188" s="1">
        <v>1956</v>
      </c>
      <c r="K188" s="4"/>
      <c r="L188" s="4"/>
      <c r="M188" s="4"/>
    </row>
    <row r="189" spans="8:13">
      <c r="H189" s="1" t="s">
        <v>486</v>
      </c>
      <c r="I189" s="1">
        <v>1936</v>
      </c>
      <c r="J189" s="1">
        <v>1956</v>
      </c>
      <c r="K189" s="4"/>
      <c r="L189" s="4"/>
      <c r="M189" s="4"/>
    </row>
    <row r="190" spans="8:13">
      <c r="H190" s="1" t="s">
        <v>487</v>
      </c>
      <c r="I190" s="1">
        <v>1936</v>
      </c>
      <c r="J190" s="1">
        <v>1956</v>
      </c>
      <c r="K190" s="4"/>
      <c r="L190" s="4"/>
      <c r="M190" s="4"/>
    </row>
    <row r="191" spans="8:13">
      <c r="H191" s="1" t="s">
        <v>488</v>
      </c>
      <c r="I191" s="1">
        <v>1936</v>
      </c>
      <c r="J191" s="1">
        <v>1956</v>
      </c>
      <c r="K191" s="4"/>
      <c r="L191" s="4"/>
      <c r="M191" s="4"/>
    </row>
    <row r="192" spans="8:13">
      <c r="H192" s="1" t="s">
        <v>489</v>
      </c>
      <c r="I192" s="1">
        <v>1948</v>
      </c>
      <c r="J192" s="1">
        <v>1956</v>
      </c>
      <c r="K192" s="4"/>
      <c r="L192" s="4"/>
      <c r="M192" s="4"/>
    </row>
    <row r="193" spans="8:13">
      <c r="H193" s="1" t="s">
        <v>490</v>
      </c>
      <c r="I193" s="1">
        <v>1952</v>
      </c>
      <c r="J193" s="1">
        <v>1956</v>
      </c>
      <c r="K193" s="4"/>
      <c r="L193" s="4"/>
      <c r="M193" s="4"/>
    </row>
    <row r="194" spans="8:13">
      <c r="H194" s="1" t="s">
        <v>491</v>
      </c>
      <c r="I194" s="1">
        <v>1912</v>
      </c>
      <c r="J194" s="1">
        <v>1952</v>
      </c>
      <c r="K194" s="4"/>
      <c r="L194" s="4"/>
      <c r="M194" s="4"/>
    </row>
    <row r="195" spans="8:13">
      <c r="H195" s="1" t="s">
        <v>492</v>
      </c>
      <c r="I195" s="1">
        <v>1912</v>
      </c>
      <c r="J195" s="1">
        <v>1952</v>
      </c>
      <c r="K195" s="4"/>
      <c r="L195" s="4"/>
      <c r="M195" s="4"/>
    </row>
    <row r="196" spans="8:13">
      <c r="H196" s="1" t="s">
        <v>493</v>
      </c>
      <c r="I196" s="1">
        <v>1912</v>
      </c>
      <c r="J196" s="1">
        <v>1952</v>
      </c>
      <c r="K196" s="4"/>
      <c r="L196" s="4"/>
      <c r="M196" s="4"/>
    </row>
    <row r="197" spans="8:13">
      <c r="H197" s="1" t="s">
        <v>494</v>
      </c>
      <c r="I197" s="1">
        <v>1908</v>
      </c>
      <c r="J197" s="1">
        <v>1952</v>
      </c>
      <c r="K197" s="4"/>
      <c r="L197" s="4"/>
      <c r="M197" s="4"/>
    </row>
    <row r="198" spans="8:13">
      <c r="H198" s="1" t="s">
        <v>495</v>
      </c>
      <c r="I198" s="1">
        <v>1924</v>
      </c>
      <c r="J198" s="1">
        <v>1952</v>
      </c>
      <c r="K198" s="4"/>
      <c r="L198" s="4"/>
      <c r="M198" s="4"/>
    </row>
    <row r="199" spans="8:13">
      <c r="H199" s="1" t="s">
        <v>496</v>
      </c>
      <c r="I199" s="1">
        <v>1912</v>
      </c>
      <c r="J199" s="1">
        <v>1948</v>
      </c>
      <c r="K199" s="4"/>
      <c r="L199" s="4"/>
      <c r="M199" s="4"/>
    </row>
    <row r="200" spans="8:13">
      <c r="H200" s="1" t="s">
        <v>497</v>
      </c>
      <c r="I200" s="1">
        <v>1928</v>
      </c>
      <c r="J200" s="1">
        <v>1948</v>
      </c>
      <c r="K200" s="4"/>
      <c r="L200" s="4"/>
      <c r="M200" s="4"/>
    </row>
    <row r="201" spans="8:13">
      <c r="H201" s="1" t="s">
        <v>498</v>
      </c>
      <c r="I201" s="1">
        <v>1932</v>
      </c>
      <c r="J201" s="1">
        <v>1948</v>
      </c>
      <c r="K201" s="4"/>
      <c r="L201" s="4"/>
      <c r="M201" s="4"/>
    </row>
    <row r="202" spans="8:13">
      <c r="H202" s="1" t="s">
        <v>499</v>
      </c>
      <c r="I202" s="1">
        <v>1928</v>
      </c>
      <c r="J202" s="1">
        <v>1948</v>
      </c>
      <c r="K202" s="4"/>
      <c r="L202" s="4"/>
      <c r="M202" s="4"/>
    </row>
    <row r="203" spans="8:13">
      <c r="H203" s="1" t="s">
        <v>500</v>
      </c>
      <c r="I203" s="1">
        <v>1928</v>
      </c>
      <c r="J203" s="1">
        <v>1948</v>
      </c>
      <c r="K203" s="4"/>
      <c r="L203" s="4"/>
      <c r="M203" s="4"/>
    </row>
    <row r="204" spans="8:13">
      <c r="H204" s="1" t="s">
        <v>501</v>
      </c>
      <c r="I204" s="1">
        <v>1928</v>
      </c>
      <c r="J204" s="1">
        <v>1948</v>
      </c>
      <c r="K204" s="4"/>
      <c r="L204" s="4"/>
      <c r="M204" s="4"/>
    </row>
    <row r="205" spans="8:13">
      <c r="H205" s="1" t="s">
        <v>502</v>
      </c>
      <c r="I205" s="1">
        <v>1932</v>
      </c>
      <c r="J205" s="1">
        <v>1948</v>
      </c>
      <c r="K205" s="4"/>
      <c r="L205" s="4"/>
      <c r="M205" s="4"/>
    </row>
    <row r="206" spans="8:13">
      <c r="H206" s="1" t="s">
        <v>503</v>
      </c>
      <c r="I206" s="1">
        <v>1932</v>
      </c>
      <c r="J206" s="1">
        <v>1948</v>
      </c>
      <c r="K206" s="4"/>
      <c r="L206" s="4"/>
      <c r="M206" s="4"/>
    </row>
    <row r="207" spans="8:13">
      <c r="H207" s="1" t="s">
        <v>504</v>
      </c>
      <c r="I207" s="1">
        <v>1928</v>
      </c>
      <c r="J207" s="1">
        <v>1948</v>
      </c>
      <c r="K207" s="4"/>
      <c r="L207" s="4"/>
      <c r="M207" s="4"/>
    </row>
    <row r="208" spans="8:13">
      <c r="H208" s="1" t="s">
        <v>505</v>
      </c>
      <c r="I208" s="1">
        <v>1936</v>
      </c>
      <c r="J208" s="1">
        <v>1948</v>
      </c>
      <c r="K208" s="4"/>
      <c r="L208" s="4"/>
      <c r="M208" s="4"/>
    </row>
    <row r="209" spans="8:13">
      <c r="H209" s="1" t="s">
        <v>506</v>
      </c>
      <c r="I209" s="1">
        <v>1928</v>
      </c>
      <c r="J209" s="1">
        <v>1948</v>
      </c>
      <c r="K209" s="4"/>
      <c r="L209" s="4"/>
      <c r="M209" s="4"/>
    </row>
    <row r="210" spans="8:13">
      <c r="H210" s="1" t="s">
        <v>507</v>
      </c>
      <c r="I210" s="1">
        <v>1936</v>
      </c>
      <c r="J210" s="1">
        <v>1948</v>
      </c>
      <c r="K210" s="4"/>
      <c r="L210" s="4"/>
      <c r="M210" s="4"/>
    </row>
    <row r="211" spans="8:13">
      <c r="H211" s="1" t="s">
        <v>508</v>
      </c>
      <c r="I211" s="1">
        <v>1928</v>
      </c>
      <c r="J211" s="1">
        <v>1948</v>
      </c>
      <c r="K211" s="4"/>
      <c r="L211" s="4"/>
      <c r="M211" s="4"/>
    </row>
    <row r="212" spans="8:13">
      <c r="H212" s="1" t="s">
        <v>509</v>
      </c>
      <c r="I212" s="1">
        <v>1948</v>
      </c>
      <c r="J212" s="1">
        <v>1948</v>
      </c>
      <c r="K212" s="4"/>
      <c r="L212" s="4"/>
      <c r="M212" s="4"/>
    </row>
    <row r="213" spans="8:13">
      <c r="H213" s="1" t="s">
        <v>510</v>
      </c>
      <c r="I213" s="1">
        <v>1928</v>
      </c>
      <c r="J213" s="1">
        <v>1948</v>
      </c>
      <c r="K213" s="4"/>
      <c r="L213" s="4"/>
      <c r="M213" s="4"/>
    </row>
    <row r="214" spans="8:13">
      <c r="H214" s="1" t="s">
        <v>511</v>
      </c>
      <c r="I214" s="1">
        <v>1928</v>
      </c>
      <c r="J214" s="1">
        <v>1948</v>
      </c>
      <c r="K214" s="4"/>
      <c r="L214" s="4"/>
      <c r="M214" s="4"/>
    </row>
    <row r="215" spans="8:13">
      <c r="H215" s="1" t="s">
        <v>512</v>
      </c>
      <c r="I215" s="1">
        <v>1928</v>
      </c>
      <c r="J215" s="1">
        <v>1948</v>
      </c>
      <c r="K215" s="4"/>
      <c r="L215" s="4"/>
      <c r="M215" s="4"/>
    </row>
    <row r="216" spans="8:13">
      <c r="H216" s="1" t="s">
        <v>513</v>
      </c>
      <c r="I216" s="1">
        <v>1948</v>
      </c>
      <c r="J216" s="1">
        <v>1948</v>
      </c>
      <c r="K216" s="4"/>
      <c r="L216" s="4"/>
      <c r="M216" s="4"/>
    </row>
    <row r="217" spans="8:13">
      <c r="H217" s="1" t="s">
        <v>514</v>
      </c>
      <c r="I217" s="1">
        <v>1928</v>
      </c>
      <c r="J217" s="1">
        <v>1948</v>
      </c>
      <c r="K217" s="4"/>
      <c r="L217" s="4"/>
      <c r="M217" s="4"/>
    </row>
    <row r="218" spans="8:13">
      <c r="H218" s="1" t="s">
        <v>515</v>
      </c>
      <c r="I218" s="1">
        <v>1936</v>
      </c>
      <c r="J218" s="1">
        <v>1948</v>
      </c>
      <c r="K218" s="4"/>
      <c r="L218" s="4"/>
      <c r="M218" s="4"/>
    </row>
    <row r="219" spans="8:13">
      <c r="H219" s="1" t="s">
        <v>516</v>
      </c>
      <c r="I219" s="1">
        <v>1900</v>
      </c>
      <c r="J219" s="1">
        <v>1936</v>
      </c>
      <c r="K219" s="4"/>
      <c r="L219" s="4"/>
      <c r="M219" s="4"/>
    </row>
    <row r="220" spans="8:13">
      <c r="H220" s="1" t="s">
        <v>517</v>
      </c>
      <c r="I220" s="1">
        <v>1928</v>
      </c>
      <c r="J220" s="1">
        <v>1936</v>
      </c>
      <c r="K220" s="4"/>
      <c r="L220" s="4"/>
      <c r="M220" s="4"/>
    </row>
    <row r="221" spans="8:13">
      <c r="H221" s="1" t="s">
        <v>518</v>
      </c>
      <c r="I221" s="1">
        <v>1908</v>
      </c>
      <c r="J221" s="1">
        <v>1936</v>
      </c>
      <c r="K221" s="4"/>
      <c r="L221" s="4"/>
      <c r="M221" s="4"/>
    </row>
    <row r="222" spans="8:13">
      <c r="H222" s="1" t="s">
        <v>519</v>
      </c>
      <c r="I222" s="1">
        <v>1936</v>
      </c>
      <c r="J222" s="1">
        <v>1936</v>
      </c>
      <c r="K222" s="4"/>
      <c r="L222" s="4"/>
      <c r="M222" s="4"/>
    </row>
    <row r="223" spans="8:13">
      <c r="H223" s="1" t="s">
        <v>520</v>
      </c>
      <c r="I223" s="1">
        <v>1936</v>
      </c>
      <c r="J223" s="1">
        <v>1936</v>
      </c>
      <c r="K223" s="4"/>
      <c r="L223" s="4"/>
      <c r="M223" s="4"/>
    </row>
    <row r="224" spans="8:13">
      <c r="H224" s="1" t="s">
        <v>521</v>
      </c>
      <c r="I224" s="1">
        <v>1936</v>
      </c>
      <c r="J224" s="1">
        <v>1936</v>
      </c>
      <c r="K224" s="4"/>
      <c r="L224" s="4"/>
      <c r="M224" s="4"/>
    </row>
    <row r="225" spans="8:13">
      <c r="H225" s="1" t="s">
        <v>522</v>
      </c>
      <c r="I225" s="1">
        <v>1936</v>
      </c>
      <c r="J225" s="1">
        <v>1936</v>
      </c>
      <c r="K225" s="4"/>
      <c r="L225" s="4"/>
      <c r="M225" s="4"/>
    </row>
    <row r="226" spans="8:13">
      <c r="H226" s="1" t="s">
        <v>523</v>
      </c>
      <c r="I226" s="1">
        <v>1928</v>
      </c>
      <c r="J226" s="1">
        <v>1936</v>
      </c>
      <c r="K226" s="4"/>
      <c r="L226" s="4"/>
      <c r="M226" s="4"/>
    </row>
    <row r="227" spans="8:13">
      <c r="H227" s="1" t="s">
        <v>524</v>
      </c>
      <c r="I227" s="1">
        <v>1924</v>
      </c>
      <c r="J227" s="1">
        <v>1936</v>
      </c>
      <c r="K227" s="4"/>
      <c r="L227" s="4"/>
      <c r="M227" s="4"/>
    </row>
    <row r="228" spans="8:13">
      <c r="H228" s="1" t="s">
        <v>525</v>
      </c>
      <c r="I228" s="1">
        <v>1936</v>
      </c>
      <c r="J228" s="1">
        <v>1936</v>
      </c>
      <c r="K228" s="4"/>
      <c r="L228" s="4"/>
      <c r="M228" s="4"/>
    </row>
    <row r="229" spans="8:13">
      <c r="H229" s="1" t="s">
        <v>526</v>
      </c>
      <c r="I229" s="1">
        <v>1896</v>
      </c>
      <c r="J229" s="1">
        <v>1932</v>
      </c>
      <c r="K229" s="4"/>
      <c r="L229" s="4"/>
      <c r="M229" s="4"/>
    </row>
    <row r="230" spans="8:13">
      <c r="H230" s="1" t="s">
        <v>527</v>
      </c>
      <c r="I230" s="1">
        <v>1932</v>
      </c>
      <c r="J230" s="1">
        <v>1932</v>
      </c>
      <c r="K230" s="4"/>
      <c r="L230" s="4"/>
      <c r="M230" s="4"/>
    </row>
    <row r="231" spans="8:13">
      <c r="H231" s="1" t="s">
        <v>528</v>
      </c>
      <c r="I231" s="1">
        <v>1912</v>
      </c>
      <c r="J231" s="1">
        <v>1932</v>
      </c>
      <c r="K231" s="4"/>
      <c r="L231" s="4"/>
      <c r="M231" s="4"/>
    </row>
    <row r="232" spans="8:13">
      <c r="H232" s="1" t="s">
        <v>529</v>
      </c>
      <c r="I232" s="1">
        <v>1912</v>
      </c>
      <c r="J232" s="1">
        <v>1932</v>
      </c>
      <c r="K232" s="4"/>
      <c r="L232" s="4"/>
      <c r="M232" s="4"/>
    </row>
    <row r="233" spans="8:13">
      <c r="H233" s="1" t="s">
        <v>530</v>
      </c>
      <c r="I233" s="1">
        <v>1932</v>
      </c>
      <c r="J233" s="1">
        <v>1932</v>
      </c>
      <c r="K233" s="4"/>
      <c r="L233" s="4"/>
      <c r="M233" s="4"/>
    </row>
    <row r="234" spans="8:13">
      <c r="H234" s="1" t="s">
        <v>531</v>
      </c>
      <c r="I234" s="1">
        <v>1928</v>
      </c>
      <c r="J234" s="1">
        <v>1932</v>
      </c>
      <c r="K234" s="4"/>
      <c r="L234" s="4"/>
      <c r="M234" s="4"/>
    </row>
    <row r="235" spans="8:13">
      <c r="H235" s="1" t="s">
        <v>532</v>
      </c>
      <c r="I235" s="1">
        <v>1904</v>
      </c>
      <c r="J235" s="1">
        <v>1932</v>
      </c>
      <c r="K235" s="4"/>
      <c r="L235" s="4"/>
      <c r="M235" s="4"/>
    </row>
    <row r="236" spans="8:13">
      <c r="H236" s="1" t="s">
        <v>533</v>
      </c>
      <c r="I236" s="1">
        <v>1924</v>
      </c>
      <c r="J236" s="1">
        <v>1928</v>
      </c>
      <c r="K236" s="4"/>
      <c r="L236" s="4"/>
      <c r="M236" s="4"/>
    </row>
    <row r="237" spans="8:13">
      <c r="H237" s="1" t="s">
        <v>534</v>
      </c>
      <c r="I237" s="1">
        <v>1904</v>
      </c>
      <c r="J237" s="1">
        <v>1924</v>
      </c>
      <c r="K237" s="4"/>
      <c r="L237" s="4"/>
      <c r="M237" s="4"/>
    </row>
    <row r="238" spans="8:13">
      <c r="H238" s="1" t="s">
        <v>535</v>
      </c>
      <c r="I238" s="1">
        <v>1912</v>
      </c>
      <c r="J238" s="1">
        <v>1924</v>
      </c>
      <c r="K238" s="4"/>
      <c r="L238" s="4"/>
      <c r="M238" s="4"/>
    </row>
    <row r="239" spans="8:13">
      <c r="H239" s="1" t="s">
        <v>536</v>
      </c>
      <c r="I239" s="1">
        <v>1912</v>
      </c>
      <c r="J239" s="1">
        <v>1924</v>
      </c>
      <c r="K239" s="4"/>
      <c r="L239" s="4"/>
      <c r="M239" s="4"/>
    </row>
    <row r="240" spans="8:13">
      <c r="H240" s="1" t="s">
        <v>537</v>
      </c>
      <c r="I240" s="1">
        <v>1912</v>
      </c>
      <c r="J240" s="1">
        <v>1924</v>
      </c>
      <c r="K240" s="4"/>
      <c r="L240" s="4"/>
      <c r="M240" s="4"/>
    </row>
    <row r="241" spans="8:13">
      <c r="H241" s="1" t="s">
        <v>538</v>
      </c>
      <c r="I241" s="1">
        <v>1912</v>
      </c>
      <c r="J241" s="1">
        <v>1924</v>
      </c>
      <c r="K241" s="4"/>
      <c r="L241" s="4"/>
      <c r="M241" s="4"/>
    </row>
    <row r="242" spans="8:13">
      <c r="H242" s="1" t="s">
        <v>539</v>
      </c>
      <c r="I242" s="1">
        <v>1912</v>
      </c>
      <c r="J242" s="1">
        <v>1924</v>
      </c>
      <c r="K242" s="4"/>
      <c r="L242" s="4"/>
      <c r="M242" s="4"/>
    </row>
    <row r="243" spans="8:13">
      <c r="H243" s="1" t="s">
        <v>540</v>
      </c>
      <c r="I243" s="1">
        <v>1912</v>
      </c>
      <c r="J243" s="1">
        <v>1924</v>
      </c>
      <c r="K243" s="4"/>
      <c r="L243" s="4"/>
      <c r="M243" s="4"/>
    </row>
    <row r="244" spans="8:13">
      <c r="H244" s="1" t="s">
        <v>541</v>
      </c>
      <c r="I244" s="1">
        <v>1912</v>
      </c>
      <c r="J244" s="1">
        <v>1924</v>
      </c>
      <c r="K244" s="4"/>
      <c r="L244" s="4"/>
      <c r="M244" s="4"/>
    </row>
    <row r="245" spans="8:13">
      <c r="H245" s="1" t="s">
        <v>542</v>
      </c>
      <c r="I245" s="1">
        <v>1912</v>
      </c>
      <c r="J245" s="1">
        <v>1924</v>
      </c>
      <c r="K245" s="4"/>
      <c r="L245" s="4"/>
      <c r="M245" s="4"/>
    </row>
    <row r="246" spans="8:13">
      <c r="H246" s="1" t="s">
        <v>543</v>
      </c>
      <c r="I246" s="1">
        <v>1908</v>
      </c>
      <c r="J246" s="1">
        <v>1924</v>
      </c>
      <c r="K246" s="4"/>
      <c r="L246" s="4"/>
      <c r="M246" s="4"/>
    </row>
    <row r="247" spans="8:13">
      <c r="H247" s="1" t="s">
        <v>544</v>
      </c>
      <c r="I247" s="1">
        <v>1908</v>
      </c>
      <c r="J247" s="1">
        <v>1924</v>
      </c>
      <c r="K247" s="4"/>
      <c r="L247" s="4"/>
      <c r="M247" s="4"/>
    </row>
    <row r="248" spans="8:13">
      <c r="H248" s="1" t="s">
        <v>545</v>
      </c>
      <c r="I248" s="1">
        <v>1908</v>
      </c>
      <c r="J248" s="1">
        <v>1924</v>
      </c>
      <c r="K248" s="4"/>
      <c r="L248" s="4"/>
      <c r="M248" s="4"/>
    </row>
    <row r="249" spans="8:13">
      <c r="H249" s="1" t="s">
        <v>546</v>
      </c>
      <c r="I249" s="1">
        <v>1908</v>
      </c>
      <c r="J249" s="1">
        <v>1924</v>
      </c>
      <c r="K249" s="4"/>
      <c r="L249" s="4"/>
      <c r="M249" s="4"/>
    </row>
    <row r="250" spans="8:13">
      <c r="H250" s="1" t="s">
        <v>547</v>
      </c>
      <c r="I250" s="1">
        <v>1920</v>
      </c>
      <c r="J250" s="1">
        <v>1924</v>
      </c>
      <c r="K250" s="4"/>
      <c r="L250" s="4"/>
      <c r="M250" s="4"/>
    </row>
    <row r="251" spans="8:13">
      <c r="H251" s="1" t="s">
        <v>548</v>
      </c>
      <c r="I251" s="1">
        <v>1924</v>
      </c>
      <c r="J251" s="1">
        <v>1924</v>
      </c>
      <c r="K251" s="4"/>
      <c r="L251" s="4"/>
      <c r="M251" s="4"/>
    </row>
    <row r="252" spans="8:13">
      <c r="H252" s="1" t="s">
        <v>549</v>
      </c>
      <c r="I252" s="1">
        <v>1924</v>
      </c>
      <c r="J252" s="1">
        <v>1924</v>
      </c>
      <c r="K252" s="4"/>
      <c r="L252" s="4"/>
      <c r="M252" s="4"/>
    </row>
    <row r="253" spans="8:13">
      <c r="H253" s="1" t="s">
        <v>550</v>
      </c>
      <c r="I253" s="1">
        <v>1920</v>
      </c>
      <c r="J253" s="1">
        <v>1924</v>
      </c>
      <c r="K253" s="4"/>
      <c r="L253" s="4"/>
      <c r="M253" s="4"/>
    </row>
    <row r="254" spans="8:13">
      <c r="H254" s="1" t="s">
        <v>551</v>
      </c>
      <c r="I254" s="1">
        <v>1924</v>
      </c>
      <c r="J254" s="1">
        <v>1924</v>
      </c>
      <c r="K254" s="4"/>
      <c r="L254" s="4"/>
      <c r="M254" s="4"/>
    </row>
    <row r="255" spans="8:13">
      <c r="H255" s="1" t="s">
        <v>552</v>
      </c>
      <c r="I255" s="1">
        <v>1924</v>
      </c>
      <c r="J255" s="1">
        <v>1924</v>
      </c>
      <c r="K255" s="4"/>
      <c r="L255" s="4"/>
      <c r="M255" s="4"/>
    </row>
    <row r="256" spans="8:13">
      <c r="H256" s="1" t="s">
        <v>553</v>
      </c>
      <c r="I256" s="1">
        <v>1912</v>
      </c>
      <c r="J256" s="1">
        <v>1924</v>
      </c>
      <c r="K256" s="4"/>
      <c r="L256" s="4"/>
      <c r="M256" s="4"/>
    </row>
    <row r="257" spans="8:13">
      <c r="H257" s="1" t="s">
        <v>554</v>
      </c>
      <c r="I257" s="1">
        <v>1900</v>
      </c>
      <c r="J257" s="1">
        <v>1924</v>
      </c>
      <c r="K257" s="4"/>
      <c r="L257" s="4"/>
      <c r="M257" s="4"/>
    </row>
    <row r="258" spans="8:13">
      <c r="H258" s="1" t="s">
        <v>555</v>
      </c>
      <c r="I258" s="1">
        <v>1912</v>
      </c>
      <c r="J258" s="1">
        <v>1920</v>
      </c>
      <c r="K258" s="4"/>
      <c r="L258" s="4"/>
      <c r="M258" s="4"/>
    </row>
    <row r="259" spans="8:13">
      <c r="H259" s="1" t="s">
        <v>556</v>
      </c>
      <c r="I259" s="1">
        <v>1904</v>
      </c>
      <c r="J259" s="1">
        <v>1920</v>
      </c>
      <c r="K259" s="4"/>
      <c r="L259" s="4"/>
      <c r="M259" s="4"/>
    </row>
    <row r="260" spans="8:13">
      <c r="H260" s="1" t="s">
        <v>557</v>
      </c>
      <c r="I260" s="1">
        <v>1906</v>
      </c>
      <c r="J260" s="1">
        <v>1920</v>
      </c>
      <c r="K260" s="4"/>
      <c r="L260" s="4"/>
      <c r="M260" s="4"/>
    </row>
    <row r="261" spans="8:13">
      <c r="H261" s="1" t="s">
        <v>558</v>
      </c>
      <c r="I261" s="1">
        <v>1900</v>
      </c>
      <c r="J261" s="1">
        <v>1920</v>
      </c>
      <c r="K261" s="4"/>
      <c r="L261" s="4"/>
      <c r="M261" s="4"/>
    </row>
    <row r="262" spans="8:13">
      <c r="H262" s="1" t="s">
        <v>559</v>
      </c>
      <c r="I262" s="1">
        <v>1900</v>
      </c>
      <c r="J262" s="1">
        <v>1920</v>
      </c>
      <c r="K262" s="4"/>
      <c r="L262" s="4"/>
      <c r="M262" s="4"/>
    </row>
    <row r="263" spans="8:13">
      <c r="H263" s="1" t="s">
        <v>560</v>
      </c>
      <c r="I263" s="1">
        <v>1900</v>
      </c>
      <c r="J263" s="1">
        <v>1920</v>
      </c>
      <c r="K263" s="4"/>
      <c r="L263" s="4"/>
      <c r="M263" s="4"/>
    </row>
    <row r="264" spans="8:13">
      <c r="H264" s="1" t="s">
        <v>561</v>
      </c>
      <c r="I264" s="1">
        <v>1912</v>
      </c>
      <c r="J264" s="1">
        <v>1920</v>
      </c>
      <c r="K264" s="4"/>
      <c r="L264" s="4"/>
      <c r="M264" s="4"/>
    </row>
    <row r="265" spans="8:13">
      <c r="H265" s="1" t="s">
        <v>562</v>
      </c>
      <c r="I265" s="1">
        <v>1912</v>
      </c>
      <c r="J265" s="1">
        <v>1920</v>
      </c>
      <c r="K265" s="4"/>
      <c r="L265" s="4"/>
      <c r="M265" s="4"/>
    </row>
    <row r="266" spans="8:13">
      <c r="H266" s="1" t="s">
        <v>563</v>
      </c>
      <c r="I266" s="1">
        <v>1920</v>
      </c>
      <c r="J266" s="1">
        <v>1920</v>
      </c>
      <c r="K266" s="4"/>
      <c r="L266" s="4"/>
      <c r="M266" s="4"/>
    </row>
    <row r="267" spans="8:13">
      <c r="H267" s="1" t="s">
        <v>564</v>
      </c>
      <c r="I267" s="1">
        <v>1920</v>
      </c>
      <c r="J267" s="1">
        <v>1920</v>
      </c>
      <c r="K267" s="4"/>
      <c r="L267" s="4"/>
      <c r="M267" s="4"/>
    </row>
    <row r="268" spans="8:13">
      <c r="H268" s="1" t="s">
        <v>565</v>
      </c>
      <c r="I268" s="1">
        <v>1920</v>
      </c>
      <c r="J268" s="1">
        <v>1920</v>
      </c>
      <c r="K268" s="4"/>
      <c r="L268" s="4"/>
      <c r="M268" s="4"/>
    </row>
    <row r="269" spans="8:13">
      <c r="H269" s="1" t="s">
        <v>566</v>
      </c>
      <c r="I269" s="1">
        <v>1920</v>
      </c>
      <c r="J269" s="1">
        <v>1920</v>
      </c>
      <c r="K269" s="4"/>
      <c r="L269" s="4"/>
      <c r="M269" s="4"/>
    </row>
    <row r="270" spans="8:13">
      <c r="H270" s="1" t="s">
        <v>567</v>
      </c>
      <c r="I270" s="1">
        <v>1920</v>
      </c>
      <c r="J270" s="1">
        <v>1920</v>
      </c>
      <c r="K270" s="4"/>
      <c r="L270" s="4"/>
      <c r="M270" s="4"/>
    </row>
    <row r="271" spans="8:13">
      <c r="H271" s="1" t="s">
        <v>568</v>
      </c>
      <c r="I271" s="1">
        <v>1920</v>
      </c>
      <c r="J271" s="1">
        <v>1920</v>
      </c>
      <c r="K271" s="4"/>
      <c r="L271" s="4"/>
      <c r="M271" s="4"/>
    </row>
    <row r="272" spans="8:13">
      <c r="H272" s="1" t="s">
        <v>569</v>
      </c>
      <c r="I272" s="1">
        <v>1920</v>
      </c>
      <c r="J272" s="1">
        <v>1920</v>
      </c>
      <c r="K272" s="4"/>
      <c r="L272" s="4"/>
      <c r="M272" s="4"/>
    </row>
    <row r="273" spans="8:13">
      <c r="H273" s="1" t="s">
        <v>570</v>
      </c>
      <c r="I273" s="1">
        <v>1920</v>
      </c>
      <c r="J273" s="1">
        <v>1920</v>
      </c>
      <c r="K273" s="4"/>
      <c r="L273" s="4"/>
      <c r="M273" s="4"/>
    </row>
    <row r="274" spans="8:13">
      <c r="H274" s="1" t="s">
        <v>571</v>
      </c>
      <c r="I274" s="1">
        <v>1920</v>
      </c>
      <c r="J274" s="1">
        <v>1920</v>
      </c>
      <c r="K274" s="4"/>
      <c r="L274" s="4"/>
      <c r="M274" s="4"/>
    </row>
    <row r="275" spans="8:13">
      <c r="H275" s="1" t="s">
        <v>572</v>
      </c>
      <c r="I275" s="1">
        <v>1920</v>
      </c>
      <c r="J275" s="1">
        <v>1920</v>
      </c>
      <c r="K275" s="4"/>
      <c r="L275" s="4"/>
      <c r="M275" s="4"/>
    </row>
    <row r="276" spans="8:13">
      <c r="H276" s="1" t="s">
        <v>573</v>
      </c>
      <c r="I276" s="1">
        <v>1920</v>
      </c>
      <c r="J276" s="1">
        <v>1920</v>
      </c>
      <c r="K276" s="4"/>
      <c r="L276" s="4"/>
      <c r="M276" s="4"/>
    </row>
    <row r="277" spans="8:13">
      <c r="H277" s="1" t="s">
        <v>574</v>
      </c>
      <c r="I277" s="1">
        <v>1920</v>
      </c>
      <c r="J277" s="1">
        <v>1920</v>
      </c>
      <c r="K277" s="4"/>
      <c r="L277" s="4"/>
      <c r="M277" s="4"/>
    </row>
    <row r="278" spans="8:13">
      <c r="H278" s="1" t="s">
        <v>575</v>
      </c>
      <c r="I278" s="1">
        <v>1920</v>
      </c>
      <c r="J278" s="1">
        <v>1920</v>
      </c>
      <c r="K278" s="4"/>
      <c r="L278" s="4"/>
      <c r="M278" s="4"/>
    </row>
    <row r="279" spans="8:13">
      <c r="H279" s="1" t="s">
        <v>576</v>
      </c>
      <c r="I279" s="1">
        <v>1920</v>
      </c>
      <c r="J279" s="1">
        <v>1920</v>
      </c>
      <c r="K279" s="4"/>
      <c r="L279" s="4"/>
      <c r="M279" s="4"/>
    </row>
    <row r="280" spans="8:13">
      <c r="H280" s="1" t="s">
        <v>577</v>
      </c>
      <c r="I280" s="1">
        <v>1912</v>
      </c>
      <c r="J280" s="1">
        <v>1920</v>
      </c>
      <c r="K280" s="4"/>
      <c r="L280" s="4"/>
      <c r="M280" s="4"/>
    </row>
    <row r="281" spans="8:13">
      <c r="H281" s="1" t="s">
        <v>578</v>
      </c>
      <c r="I281" s="1">
        <v>1920</v>
      </c>
      <c r="J281" s="1">
        <v>1920</v>
      </c>
      <c r="K281" s="4"/>
      <c r="L281" s="4"/>
      <c r="M281" s="4"/>
    </row>
    <row r="282" spans="8:13">
      <c r="H282" s="1" t="s">
        <v>579</v>
      </c>
      <c r="I282" s="1">
        <v>1908</v>
      </c>
      <c r="J282" s="1">
        <v>1920</v>
      </c>
      <c r="K282" s="4"/>
      <c r="L282" s="4"/>
      <c r="M282" s="4"/>
    </row>
    <row r="283" spans="8:13">
      <c r="H283" s="1" t="s">
        <v>580</v>
      </c>
      <c r="I283" s="1">
        <v>1908</v>
      </c>
      <c r="J283" s="1">
        <v>1920</v>
      </c>
      <c r="K283" s="4"/>
      <c r="L283" s="4"/>
      <c r="M283" s="4"/>
    </row>
    <row r="284" spans="8:13">
      <c r="H284" s="1" t="s">
        <v>581</v>
      </c>
      <c r="I284" s="1">
        <v>1920</v>
      </c>
      <c r="J284" s="1">
        <v>1920</v>
      </c>
      <c r="K284" s="4"/>
      <c r="L284" s="4"/>
      <c r="M284" s="4"/>
    </row>
    <row r="285" spans="8:13">
      <c r="H285" s="1" t="s">
        <v>582</v>
      </c>
      <c r="I285" s="1">
        <v>1920</v>
      </c>
      <c r="J285" s="1">
        <v>1920</v>
      </c>
      <c r="K285" s="4"/>
      <c r="L285" s="4"/>
      <c r="M285" s="4"/>
    </row>
    <row r="286" spans="8:13">
      <c r="H286" s="1" t="s">
        <v>583</v>
      </c>
      <c r="I286" s="1">
        <v>1920</v>
      </c>
      <c r="J286" s="1">
        <v>1920</v>
      </c>
      <c r="K286" s="4"/>
      <c r="L286" s="4"/>
      <c r="M286" s="4"/>
    </row>
    <row r="287" spans="8:13">
      <c r="H287" s="1" t="s">
        <v>584</v>
      </c>
      <c r="I287" s="1">
        <v>1920</v>
      </c>
      <c r="J287" s="1">
        <v>1920</v>
      </c>
      <c r="K287" s="4"/>
      <c r="L287" s="4"/>
      <c r="M287" s="4"/>
    </row>
    <row r="288" spans="8:13">
      <c r="H288" s="1" t="s">
        <v>585</v>
      </c>
      <c r="I288" s="1">
        <v>1920</v>
      </c>
      <c r="J288" s="1">
        <v>1920</v>
      </c>
      <c r="K288" s="4"/>
      <c r="L288" s="4"/>
      <c r="M288" s="4"/>
    </row>
    <row r="289" spans="8:13">
      <c r="H289" s="1" t="s">
        <v>586</v>
      </c>
      <c r="I289" s="1">
        <v>1920</v>
      </c>
      <c r="J289" s="1">
        <v>1920</v>
      </c>
      <c r="K289" s="4"/>
      <c r="L289" s="4"/>
      <c r="M289" s="4"/>
    </row>
    <row r="290" spans="8:13">
      <c r="H290" s="1" t="s">
        <v>587</v>
      </c>
      <c r="I290" s="1">
        <v>1920</v>
      </c>
      <c r="J290" s="1">
        <v>1920</v>
      </c>
      <c r="K290" s="4"/>
      <c r="L290" s="4"/>
      <c r="M290" s="4"/>
    </row>
    <row r="291" spans="8:13">
      <c r="H291" s="1" t="s">
        <v>588</v>
      </c>
      <c r="I291" s="1">
        <v>1920</v>
      </c>
      <c r="J291" s="1">
        <v>1920</v>
      </c>
      <c r="K291" s="4"/>
      <c r="L291" s="4"/>
      <c r="M291" s="4"/>
    </row>
    <row r="292" spans="8:13">
      <c r="H292" s="1" t="s">
        <v>589</v>
      </c>
      <c r="I292" s="1">
        <v>1920</v>
      </c>
      <c r="J292" s="1">
        <v>1920</v>
      </c>
      <c r="K292" s="4"/>
      <c r="L292" s="4"/>
      <c r="M292" s="4"/>
    </row>
    <row r="293" spans="8:13">
      <c r="H293" s="1" t="s">
        <v>590</v>
      </c>
      <c r="I293" s="1">
        <v>1920</v>
      </c>
      <c r="J293" s="1">
        <v>1920</v>
      </c>
      <c r="K293" s="4"/>
      <c r="L293" s="4"/>
      <c r="M293" s="4"/>
    </row>
    <row r="294" spans="8:13">
      <c r="H294" s="1" t="s">
        <v>591</v>
      </c>
      <c r="I294" s="1">
        <v>1900</v>
      </c>
      <c r="J294" s="1">
        <v>1912</v>
      </c>
      <c r="K294" s="4"/>
      <c r="L294" s="4"/>
      <c r="M294" s="4"/>
    </row>
    <row r="295" spans="8:13">
      <c r="H295" s="1" t="s">
        <v>592</v>
      </c>
      <c r="I295" s="1">
        <v>1900</v>
      </c>
      <c r="J295" s="1">
        <v>1912</v>
      </c>
      <c r="K295" s="4"/>
      <c r="L295" s="4"/>
      <c r="M295" s="4"/>
    </row>
    <row r="296" spans="8:13">
      <c r="H296" s="1" t="s">
        <v>593</v>
      </c>
      <c r="I296" s="1">
        <v>1912</v>
      </c>
      <c r="J296" s="1">
        <v>1912</v>
      </c>
      <c r="K296" s="4"/>
      <c r="L296" s="4"/>
      <c r="M296" s="4"/>
    </row>
    <row r="297" spans="8:13">
      <c r="H297" s="1" t="s">
        <v>594</v>
      </c>
      <c r="I297" s="1">
        <v>1912</v>
      </c>
      <c r="J297" s="1">
        <v>1912</v>
      </c>
      <c r="K297" s="4"/>
      <c r="L297" s="4"/>
      <c r="M297" s="4"/>
    </row>
    <row r="298" spans="8:13">
      <c r="H298" s="1" t="s">
        <v>595</v>
      </c>
      <c r="I298" s="1">
        <v>1912</v>
      </c>
      <c r="J298" s="1">
        <v>1912</v>
      </c>
      <c r="K298" s="4"/>
      <c r="L298" s="4"/>
      <c r="M298" s="4"/>
    </row>
    <row r="299" spans="8:13">
      <c r="H299" s="1" t="s">
        <v>596</v>
      </c>
      <c r="I299" s="1">
        <v>1912</v>
      </c>
      <c r="J299" s="1">
        <v>1912</v>
      </c>
      <c r="K299" s="4"/>
      <c r="L299" s="4"/>
      <c r="M299" s="4"/>
    </row>
    <row r="300" spans="8:13">
      <c r="H300" s="1" t="s">
        <v>597</v>
      </c>
      <c r="I300" s="1">
        <v>1912</v>
      </c>
      <c r="J300" s="1">
        <v>1912</v>
      </c>
      <c r="K300" s="4"/>
      <c r="L300" s="4"/>
      <c r="M300" s="4"/>
    </row>
    <row r="301" spans="8:13">
      <c r="H301" s="1" t="s">
        <v>598</v>
      </c>
      <c r="I301" s="1">
        <v>1908</v>
      </c>
      <c r="J301" s="1">
        <v>1912</v>
      </c>
      <c r="K301" s="4"/>
      <c r="L301" s="4"/>
      <c r="M301" s="4"/>
    </row>
    <row r="302" spans="8:13">
      <c r="H302" s="1" t="s">
        <v>599</v>
      </c>
      <c r="I302" s="1">
        <v>1908</v>
      </c>
      <c r="J302" s="1">
        <v>1912</v>
      </c>
      <c r="K302" s="4"/>
      <c r="L302" s="4"/>
      <c r="M302" s="4"/>
    </row>
    <row r="303" spans="8:13">
      <c r="H303" s="1" t="s">
        <v>600</v>
      </c>
      <c r="I303" s="1">
        <v>1912</v>
      </c>
      <c r="J303" s="1">
        <v>1912</v>
      </c>
      <c r="K303" s="4"/>
      <c r="L303" s="4"/>
      <c r="M303" s="4"/>
    </row>
    <row r="304" spans="8:13">
      <c r="H304" s="1" t="s">
        <v>601</v>
      </c>
      <c r="I304" s="1">
        <v>1912</v>
      </c>
      <c r="J304" s="1">
        <v>1912</v>
      </c>
      <c r="K304" s="4"/>
      <c r="L304" s="4"/>
      <c r="M304" s="4"/>
    </row>
    <row r="305" spans="8:13">
      <c r="H305" s="1" t="s">
        <v>602</v>
      </c>
      <c r="I305" s="1">
        <v>1912</v>
      </c>
      <c r="J305" s="1">
        <v>1912</v>
      </c>
      <c r="K305" s="4"/>
      <c r="L305" s="4"/>
      <c r="M305" s="4"/>
    </row>
    <row r="306" spans="8:13">
      <c r="H306" s="1" t="s">
        <v>603</v>
      </c>
      <c r="I306" s="1">
        <v>1912</v>
      </c>
      <c r="J306" s="1">
        <v>1912</v>
      </c>
      <c r="K306" s="4"/>
      <c r="L306" s="4"/>
      <c r="M306" s="4"/>
    </row>
    <row r="307" spans="8:13">
      <c r="H307" s="1" t="s">
        <v>604</v>
      </c>
      <c r="I307" s="1">
        <v>1912</v>
      </c>
      <c r="J307" s="1">
        <v>1912</v>
      </c>
      <c r="K307" s="4"/>
      <c r="L307" s="4"/>
      <c r="M307" s="4"/>
    </row>
    <row r="308" spans="8:13">
      <c r="H308" s="1" t="s">
        <v>605</v>
      </c>
      <c r="I308" s="1">
        <v>1912</v>
      </c>
      <c r="J308" s="1">
        <v>1912</v>
      </c>
      <c r="K308" s="4"/>
      <c r="L308" s="4"/>
      <c r="M308" s="4"/>
    </row>
    <row r="309" spans="8:13">
      <c r="H309" s="1" t="s">
        <v>606</v>
      </c>
      <c r="I309" s="1">
        <v>1912</v>
      </c>
      <c r="J309" s="1">
        <v>1912</v>
      </c>
      <c r="K309" s="4"/>
      <c r="L309" s="4"/>
      <c r="M309" s="4"/>
    </row>
    <row r="310" spans="8:13">
      <c r="H310" s="1" t="s">
        <v>607</v>
      </c>
      <c r="I310" s="1">
        <v>1912</v>
      </c>
      <c r="J310" s="1">
        <v>1912</v>
      </c>
      <c r="K310" s="4"/>
      <c r="L310" s="4"/>
      <c r="M310" s="4"/>
    </row>
    <row r="311" spans="8:13">
      <c r="H311" s="1" t="s">
        <v>608</v>
      </c>
      <c r="I311" s="1">
        <v>1912</v>
      </c>
      <c r="J311" s="1">
        <v>1912</v>
      </c>
      <c r="K311" s="4"/>
      <c r="L311" s="4"/>
      <c r="M311" s="4"/>
    </row>
    <row r="312" spans="8:13">
      <c r="H312" s="1" t="s">
        <v>609</v>
      </c>
      <c r="I312" s="1">
        <v>1912</v>
      </c>
      <c r="J312" s="1">
        <v>1912</v>
      </c>
      <c r="K312" s="4"/>
      <c r="L312" s="4"/>
      <c r="M312" s="4"/>
    </row>
    <row r="313" spans="8:13">
      <c r="H313" s="1" t="s">
        <v>610</v>
      </c>
      <c r="I313" s="1">
        <v>1912</v>
      </c>
      <c r="J313" s="1">
        <v>1912</v>
      </c>
      <c r="K313" s="4"/>
      <c r="L313" s="4"/>
      <c r="M313" s="4"/>
    </row>
    <row r="314" spans="8:13">
      <c r="H314" s="1" t="s">
        <v>611</v>
      </c>
      <c r="I314" s="1">
        <v>1912</v>
      </c>
      <c r="J314" s="1">
        <v>1912</v>
      </c>
      <c r="K314" s="4"/>
      <c r="L314" s="4"/>
      <c r="M314" s="4"/>
    </row>
    <row r="315" spans="8:13">
      <c r="H315" s="1" t="s">
        <v>612</v>
      </c>
      <c r="I315" s="1">
        <v>1908</v>
      </c>
      <c r="J315" s="1">
        <v>1912</v>
      </c>
      <c r="K315" s="4"/>
      <c r="L315" s="4"/>
      <c r="M315" s="4"/>
    </row>
    <row r="316" spans="8:13">
      <c r="H316" s="1" t="s">
        <v>613</v>
      </c>
      <c r="I316" s="1">
        <v>1906</v>
      </c>
      <c r="J316" s="1">
        <v>1908</v>
      </c>
      <c r="K316" s="4"/>
      <c r="L316" s="4"/>
      <c r="M316" s="4"/>
    </row>
    <row r="317" spans="8:13">
      <c r="H317" s="1" t="s">
        <v>614</v>
      </c>
      <c r="I317" s="1">
        <v>1906</v>
      </c>
      <c r="J317" s="1">
        <v>1908</v>
      </c>
      <c r="K317" s="4"/>
      <c r="L317" s="4"/>
      <c r="M317" s="4"/>
    </row>
    <row r="318" spans="8:13">
      <c r="H318" s="1" t="s">
        <v>615</v>
      </c>
      <c r="I318" s="1">
        <v>1906</v>
      </c>
      <c r="J318" s="1">
        <v>1908</v>
      </c>
      <c r="K318" s="4"/>
      <c r="L318" s="4"/>
      <c r="M318" s="4"/>
    </row>
    <row r="319" spans="8:13">
      <c r="H319" s="1" t="s">
        <v>616</v>
      </c>
      <c r="I319" s="1">
        <v>1908</v>
      </c>
      <c r="J319" s="1">
        <v>1908</v>
      </c>
      <c r="K319" s="4"/>
      <c r="L319" s="4"/>
      <c r="M319" s="4"/>
    </row>
    <row r="320" spans="8:13">
      <c r="H320" s="1" t="s">
        <v>617</v>
      </c>
      <c r="I320" s="1">
        <v>1908</v>
      </c>
      <c r="J320" s="1">
        <v>1908</v>
      </c>
      <c r="K320" s="4"/>
      <c r="L320" s="4"/>
      <c r="M320" s="4"/>
    </row>
    <row r="321" spans="8:13">
      <c r="H321" s="1" t="s">
        <v>618</v>
      </c>
      <c r="I321" s="1">
        <v>1908</v>
      </c>
      <c r="J321" s="1">
        <v>1908</v>
      </c>
      <c r="K321" s="4"/>
      <c r="L321" s="4"/>
      <c r="M321" s="4"/>
    </row>
    <row r="322" spans="8:13">
      <c r="H322" s="1" t="s">
        <v>619</v>
      </c>
      <c r="I322" s="1">
        <v>1908</v>
      </c>
      <c r="J322" s="1">
        <v>1908</v>
      </c>
      <c r="K322" s="4"/>
      <c r="L322" s="4"/>
      <c r="M322" s="4"/>
    </row>
    <row r="323" spans="8:13">
      <c r="H323" s="1" t="s">
        <v>620</v>
      </c>
      <c r="I323" s="1">
        <v>1908</v>
      </c>
      <c r="J323" s="1">
        <v>1908</v>
      </c>
      <c r="K323" s="4"/>
      <c r="L323" s="4"/>
      <c r="M323" s="4"/>
    </row>
    <row r="324" spans="8:13">
      <c r="H324" s="1" t="s">
        <v>621</v>
      </c>
      <c r="I324" s="1">
        <v>1906</v>
      </c>
      <c r="J324" s="1">
        <v>1908</v>
      </c>
      <c r="K324" s="4"/>
      <c r="L324" s="4"/>
      <c r="M324" s="4"/>
    </row>
    <row r="325" spans="8:13">
      <c r="H325" s="1" t="s">
        <v>622</v>
      </c>
      <c r="I325" s="1">
        <v>1906</v>
      </c>
      <c r="J325" s="1">
        <v>1908</v>
      </c>
      <c r="K325" s="4"/>
      <c r="L325" s="4"/>
      <c r="M325" s="4"/>
    </row>
    <row r="326" spans="8:13">
      <c r="H326" s="1" t="s">
        <v>623</v>
      </c>
      <c r="I326" s="1">
        <v>1904</v>
      </c>
      <c r="J326" s="1">
        <v>1908</v>
      </c>
      <c r="K326" s="4"/>
      <c r="L326" s="4"/>
      <c r="M326" s="4"/>
    </row>
    <row r="327" spans="8:13">
      <c r="H327" s="1" t="s">
        <v>624</v>
      </c>
      <c r="I327" s="1">
        <v>1896</v>
      </c>
      <c r="J327" s="1">
        <v>1908</v>
      </c>
      <c r="K327" s="4"/>
      <c r="L327" s="4"/>
      <c r="M327" s="4"/>
    </row>
    <row r="328" spans="8:13">
      <c r="H328" s="1" t="s">
        <v>625</v>
      </c>
      <c r="I328" s="1">
        <v>1908</v>
      </c>
      <c r="J328" s="1">
        <v>1908</v>
      </c>
      <c r="K328" s="4"/>
      <c r="L328" s="4"/>
      <c r="M328" s="4"/>
    </row>
    <row r="329" spans="8:13">
      <c r="H329" s="1" t="s">
        <v>626</v>
      </c>
      <c r="I329" s="1">
        <v>1908</v>
      </c>
      <c r="J329" s="1">
        <v>1908</v>
      </c>
      <c r="K329" s="4"/>
      <c r="L329" s="4"/>
      <c r="M329" s="4"/>
    </row>
    <row r="330" spans="8:13">
      <c r="H330" s="1" t="s">
        <v>627</v>
      </c>
      <c r="I330" s="1">
        <v>1908</v>
      </c>
      <c r="J330" s="1">
        <v>1908</v>
      </c>
      <c r="K330" s="4"/>
      <c r="L330" s="4"/>
      <c r="M330" s="4"/>
    </row>
    <row r="331" spans="8:13">
      <c r="H331" s="1" t="s">
        <v>628</v>
      </c>
      <c r="I331" s="1">
        <v>1908</v>
      </c>
      <c r="J331" s="1">
        <v>1908</v>
      </c>
      <c r="K331" s="4"/>
      <c r="L331" s="4"/>
      <c r="M331" s="4"/>
    </row>
    <row r="332" spans="8:13">
      <c r="H332" s="1" t="s">
        <v>629</v>
      </c>
      <c r="I332" s="1">
        <v>1908</v>
      </c>
      <c r="J332" s="1">
        <v>1908</v>
      </c>
      <c r="K332" s="4"/>
      <c r="L332" s="4"/>
      <c r="M332" s="4"/>
    </row>
    <row r="333" spans="8:13">
      <c r="H333" s="1" t="s">
        <v>630</v>
      </c>
      <c r="I333" s="1">
        <v>1908</v>
      </c>
      <c r="J333" s="1">
        <v>1908</v>
      </c>
      <c r="K333" s="4"/>
      <c r="L333" s="4"/>
      <c r="M333" s="4"/>
    </row>
    <row r="334" spans="8:13">
      <c r="H334" s="1" t="s">
        <v>631</v>
      </c>
      <c r="I334" s="1">
        <v>1908</v>
      </c>
      <c r="J334" s="1">
        <v>1908</v>
      </c>
      <c r="K334" s="4"/>
      <c r="L334" s="4"/>
      <c r="M334" s="4"/>
    </row>
    <row r="335" spans="8:13">
      <c r="H335" s="1" t="s">
        <v>632</v>
      </c>
      <c r="I335" s="1">
        <v>1908</v>
      </c>
      <c r="J335" s="1">
        <v>1908</v>
      </c>
      <c r="K335" s="4"/>
      <c r="L335" s="4"/>
      <c r="M335" s="4"/>
    </row>
    <row r="336" spans="8:13">
      <c r="H336" s="1" t="s">
        <v>633</v>
      </c>
      <c r="I336" s="1">
        <v>1908</v>
      </c>
      <c r="J336" s="1">
        <v>1908</v>
      </c>
      <c r="K336" s="4"/>
      <c r="L336" s="4"/>
      <c r="M336" s="4"/>
    </row>
    <row r="337" spans="8:13">
      <c r="H337" s="1" t="s">
        <v>634</v>
      </c>
      <c r="I337" s="1">
        <v>1908</v>
      </c>
      <c r="J337" s="1">
        <v>1908</v>
      </c>
      <c r="K337" s="4"/>
      <c r="L337" s="4"/>
      <c r="M337" s="4"/>
    </row>
    <row r="338" spans="8:13">
      <c r="H338" s="1" t="s">
        <v>635</v>
      </c>
      <c r="I338" s="1">
        <v>1908</v>
      </c>
      <c r="J338" s="1">
        <v>1908</v>
      </c>
      <c r="K338" s="4"/>
      <c r="L338" s="4"/>
      <c r="M338" s="4"/>
    </row>
    <row r="339" spans="8:13">
      <c r="H339" s="1" t="s">
        <v>636</v>
      </c>
      <c r="I339" s="1">
        <v>1908</v>
      </c>
      <c r="J339" s="1">
        <v>1908</v>
      </c>
      <c r="K339" s="4"/>
      <c r="L339" s="4"/>
      <c r="M339" s="4"/>
    </row>
    <row r="340" spans="8:13">
      <c r="H340" s="1" t="s">
        <v>637</v>
      </c>
      <c r="I340" s="1">
        <v>1908</v>
      </c>
      <c r="J340" s="1">
        <v>1908</v>
      </c>
      <c r="K340" s="4"/>
      <c r="L340" s="4"/>
      <c r="M340" s="4"/>
    </row>
    <row r="341" spans="8:13">
      <c r="H341" s="1" t="s">
        <v>638</v>
      </c>
      <c r="I341" s="1">
        <v>1908</v>
      </c>
      <c r="J341" s="1">
        <v>1908</v>
      </c>
      <c r="K341" s="4"/>
      <c r="L341" s="4"/>
      <c r="M341" s="4"/>
    </row>
    <row r="342" spans="8:13">
      <c r="H342" s="1" t="s">
        <v>639</v>
      </c>
      <c r="I342" s="1">
        <v>1904</v>
      </c>
      <c r="J342" s="1">
        <v>1908</v>
      </c>
      <c r="K342" s="4"/>
      <c r="L342" s="4"/>
      <c r="M342" s="4"/>
    </row>
    <row r="343" spans="8:13">
      <c r="H343" s="1" t="s">
        <v>640</v>
      </c>
      <c r="I343" s="1">
        <v>1904</v>
      </c>
      <c r="J343" s="1">
        <v>1908</v>
      </c>
      <c r="K343" s="4"/>
      <c r="L343" s="4"/>
      <c r="M343" s="4"/>
    </row>
    <row r="344" spans="8:13">
      <c r="H344" s="1" t="s">
        <v>641</v>
      </c>
      <c r="I344" s="1">
        <v>1908</v>
      </c>
      <c r="J344" s="1">
        <v>1908</v>
      </c>
      <c r="K344" s="4"/>
      <c r="L344" s="4"/>
      <c r="M344" s="4"/>
    </row>
    <row r="345" spans="8:13">
      <c r="H345" s="1" t="s">
        <v>642</v>
      </c>
      <c r="I345" s="1">
        <v>1908</v>
      </c>
      <c r="J345" s="1">
        <v>1908</v>
      </c>
      <c r="K345" s="4"/>
      <c r="L345" s="4"/>
      <c r="M345" s="4"/>
    </row>
    <row r="346" spans="8:13">
      <c r="H346" s="1" t="s">
        <v>643</v>
      </c>
      <c r="I346" s="1">
        <v>1908</v>
      </c>
      <c r="J346" s="1">
        <v>1908</v>
      </c>
      <c r="K346" s="4"/>
      <c r="L346" s="4"/>
      <c r="M346" s="4"/>
    </row>
    <row r="347" spans="8:13">
      <c r="H347" s="1" t="s">
        <v>644</v>
      </c>
      <c r="I347" s="1">
        <v>1906</v>
      </c>
      <c r="J347" s="1">
        <v>1906</v>
      </c>
      <c r="K347" s="4"/>
      <c r="L347" s="4"/>
      <c r="M347" s="4"/>
    </row>
    <row r="348" spans="8:13">
      <c r="H348" s="1" t="s">
        <v>645</v>
      </c>
      <c r="I348" s="1">
        <v>1906</v>
      </c>
      <c r="J348" s="1">
        <v>1906</v>
      </c>
      <c r="K348" s="4"/>
      <c r="L348" s="4"/>
      <c r="M348" s="4"/>
    </row>
    <row r="349" spans="8:13">
      <c r="H349" s="1" t="s">
        <v>646</v>
      </c>
      <c r="I349" s="1">
        <v>1906</v>
      </c>
      <c r="J349" s="1">
        <v>1906</v>
      </c>
      <c r="K349" s="4"/>
      <c r="L349" s="4"/>
      <c r="M349" s="4"/>
    </row>
    <row r="350" spans="8:13">
      <c r="H350" s="1" t="s">
        <v>647</v>
      </c>
      <c r="I350" s="1">
        <v>1906</v>
      </c>
      <c r="J350" s="1">
        <v>1906</v>
      </c>
      <c r="K350" s="4"/>
      <c r="L350" s="4"/>
      <c r="M350" s="4"/>
    </row>
    <row r="351" spans="8:13">
      <c r="H351" s="1" t="s">
        <v>648</v>
      </c>
      <c r="I351" s="1">
        <v>1900</v>
      </c>
      <c r="J351" s="1">
        <v>1906</v>
      </c>
      <c r="K351" s="4"/>
      <c r="L351" s="4"/>
      <c r="M351" s="4"/>
    </row>
    <row r="352" spans="8:13">
      <c r="H352" s="1" t="s">
        <v>649</v>
      </c>
      <c r="I352" s="1">
        <v>1900</v>
      </c>
      <c r="J352" s="1">
        <v>1906</v>
      </c>
      <c r="K352" s="4"/>
      <c r="L352" s="4"/>
      <c r="M352" s="4"/>
    </row>
    <row r="353" spans="8:13">
      <c r="H353" s="1" t="s">
        <v>650</v>
      </c>
      <c r="I353" s="1">
        <v>1906</v>
      </c>
      <c r="J353" s="1">
        <v>1906</v>
      </c>
      <c r="K353" s="4"/>
      <c r="L353" s="4"/>
      <c r="M353" s="4"/>
    </row>
    <row r="354" spans="8:13">
      <c r="H354" s="1" t="s">
        <v>651</v>
      </c>
      <c r="I354" s="1">
        <v>1904</v>
      </c>
      <c r="J354" s="1">
        <v>1906</v>
      </c>
      <c r="K354" s="4"/>
      <c r="L354" s="4"/>
      <c r="M354" s="4"/>
    </row>
    <row r="355" spans="8:13">
      <c r="H355" s="1" t="s">
        <v>652</v>
      </c>
      <c r="I355" s="1">
        <v>1906</v>
      </c>
      <c r="J355" s="1">
        <v>1906</v>
      </c>
      <c r="K355" s="4"/>
      <c r="L355" s="4"/>
      <c r="M355" s="4"/>
    </row>
    <row r="356" spans="8:13">
      <c r="H356" s="1" t="s">
        <v>653</v>
      </c>
      <c r="I356" s="1">
        <v>1906</v>
      </c>
      <c r="J356" s="1">
        <v>1906</v>
      </c>
      <c r="K356" s="4"/>
      <c r="L356" s="4"/>
      <c r="M356" s="4"/>
    </row>
    <row r="357" spans="8:13">
      <c r="H357" s="1" t="s">
        <v>654</v>
      </c>
      <c r="I357" s="1">
        <v>1896</v>
      </c>
      <c r="J357" s="1">
        <v>1906</v>
      </c>
      <c r="K357" s="4"/>
      <c r="L357" s="4"/>
      <c r="M357" s="4"/>
    </row>
    <row r="358" spans="8:13">
      <c r="H358" s="1" t="s">
        <v>655</v>
      </c>
      <c r="I358" s="1">
        <v>1906</v>
      </c>
      <c r="J358" s="1">
        <v>1906</v>
      </c>
      <c r="K358" s="4"/>
      <c r="L358" s="4"/>
      <c r="M358" s="4"/>
    </row>
    <row r="359" spans="8:13">
      <c r="H359" s="1" t="s">
        <v>656</v>
      </c>
      <c r="I359" s="1">
        <v>1896</v>
      </c>
      <c r="J359" s="1">
        <v>1906</v>
      </c>
      <c r="K359" s="4"/>
      <c r="L359" s="4"/>
      <c r="M359" s="4"/>
    </row>
    <row r="360" spans="8:13">
      <c r="H360" s="1" t="s">
        <v>657</v>
      </c>
      <c r="I360" s="1">
        <v>1896</v>
      </c>
      <c r="J360" s="1">
        <v>1906</v>
      </c>
      <c r="K360" s="4"/>
      <c r="L360" s="4"/>
      <c r="M360" s="4"/>
    </row>
    <row r="361" spans="8:13">
      <c r="H361" s="1" t="s">
        <v>658</v>
      </c>
      <c r="I361" s="1">
        <v>1906</v>
      </c>
      <c r="J361" s="1">
        <v>1906</v>
      </c>
      <c r="K361" s="4"/>
      <c r="L361" s="4"/>
      <c r="M361" s="4"/>
    </row>
    <row r="362" spans="8:13">
      <c r="H362" s="1" t="s">
        <v>659</v>
      </c>
      <c r="I362" s="1">
        <v>1906</v>
      </c>
      <c r="J362" s="1">
        <v>1906</v>
      </c>
      <c r="K362" s="4"/>
      <c r="L362" s="4"/>
      <c r="M362" s="4"/>
    </row>
    <row r="363" spans="8:13">
      <c r="H363" s="1" t="s">
        <v>660</v>
      </c>
      <c r="I363" s="1">
        <v>1906</v>
      </c>
      <c r="J363" s="1">
        <v>1906</v>
      </c>
      <c r="K363" s="4"/>
      <c r="L363" s="4"/>
      <c r="M363" s="4"/>
    </row>
    <row r="364" spans="8:13">
      <c r="H364" s="1" t="s">
        <v>661</v>
      </c>
      <c r="I364" s="1">
        <v>1906</v>
      </c>
      <c r="J364" s="1">
        <v>1906</v>
      </c>
      <c r="K364" s="4"/>
      <c r="L364" s="4"/>
      <c r="M364" s="4"/>
    </row>
    <row r="365" spans="8:13">
      <c r="H365" s="1" t="s">
        <v>662</v>
      </c>
      <c r="I365" s="1">
        <v>1906</v>
      </c>
      <c r="J365" s="1">
        <v>1906</v>
      </c>
      <c r="K365" s="4"/>
      <c r="L365" s="4"/>
      <c r="M365" s="4"/>
    </row>
    <row r="366" spans="8:13">
      <c r="H366" s="1" t="s">
        <v>663</v>
      </c>
      <c r="I366" s="1">
        <v>1906</v>
      </c>
      <c r="J366" s="1">
        <v>1906</v>
      </c>
      <c r="K366" s="4"/>
      <c r="L366" s="4"/>
      <c r="M366" s="4"/>
    </row>
    <row r="367" spans="8:13">
      <c r="H367" s="1" t="s">
        <v>664</v>
      </c>
      <c r="I367" s="1">
        <v>1906</v>
      </c>
      <c r="J367" s="1">
        <v>1906</v>
      </c>
      <c r="K367" s="4"/>
      <c r="L367" s="4"/>
      <c r="M367" s="4"/>
    </row>
    <row r="368" spans="8:13">
      <c r="H368" s="1" t="s">
        <v>665</v>
      </c>
      <c r="I368" s="1">
        <v>1906</v>
      </c>
      <c r="J368" s="1">
        <v>1906</v>
      </c>
      <c r="K368" s="4"/>
      <c r="L368" s="4"/>
      <c r="M368" s="4"/>
    </row>
    <row r="369" spans="8:13">
      <c r="H369" s="1" t="s">
        <v>666</v>
      </c>
      <c r="I369" s="1">
        <v>1906</v>
      </c>
      <c r="J369" s="1">
        <v>1906</v>
      </c>
      <c r="K369" s="4"/>
      <c r="L369" s="4"/>
      <c r="M369" s="4"/>
    </row>
    <row r="370" spans="8:13">
      <c r="H370" s="1" t="s">
        <v>667</v>
      </c>
      <c r="I370" s="1">
        <v>1906</v>
      </c>
      <c r="J370" s="1">
        <v>1906</v>
      </c>
      <c r="K370" s="4"/>
      <c r="L370" s="4"/>
      <c r="M370" s="4"/>
    </row>
    <row r="371" spans="8:13">
      <c r="H371" s="1" t="s">
        <v>668</v>
      </c>
      <c r="I371" s="1">
        <v>1906</v>
      </c>
      <c r="J371" s="1">
        <v>1906</v>
      </c>
      <c r="K371" s="4"/>
      <c r="L371" s="4"/>
      <c r="M371" s="4"/>
    </row>
    <row r="372" spans="8:13">
      <c r="H372" s="1" t="s">
        <v>669</v>
      </c>
      <c r="I372" s="1">
        <v>1904</v>
      </c>
      <c r="J372" s="1">
        <v>1904</v>
      </c>
      <c r="K372" s="4"/>
      <c r="L372" s="4"/>
      <c r="M372" s="4"/>
    </row>
    <row r="373" spans="8:13">
      <c r="H373" s="1" t="s">
        <v>670</v>
      </c>
      <c r="I373" s="1">
        <v>1904</v>
      </c>
      <c r="J373" s="1">
        <v>1904</v>
      </c>
      <c r="K373" s="4"/>
      <c r="L373" s="4"/>
      <c r="M373" s="4"/>
    </row>
    <row r="374" spans="8:13">
      <c r="H374" s="1" t="s">
        <v>671</v>
      </c>
      <c r="I374" s="1">
        <v>1904</v>
      </c>
      <c r="J374" s="1">
        <v>1904</v>
      </c>
      <c r="K374" s="4"/>
      <c r="L374" s="4"/>
      <c r="M374" s="4"/>
    </row>
    <row r="375" spans="8:13">
      <c r="H375" s="1" t="s">
        <v>672</v>
      </c>
      <c r="I375" s="1">
        <v>1900</v>
      </c>
      <c r="J375" s="1">
        <v>1904</v>
      </c>
      <c r="K375" s="4"/>
      <c r="L375" s="4"/>
      <c r="M375" s="4"/>
    </row>
    <row r="376" spans="8:13">
      <c r="H376" s="1" t="s">
        <v>673</v>
      </c>
      <c r="I376" s="1">
        <v>1900</v>
      </c>
      <c r="J376" s="1">
        <v>1904</v>
      </c>
      <c r="K376" s="4"/>
      <c r="L376" s="4"/>
      <c r="M376" s="4"/>
    </row>
    <row r="377" spans="8:13">
      <c r="H377" s="1" t="s">
        <v>674</v>
      </c>
      <c r="I377" s="1">
        <v>1900</v>
      </c>
      <c r="J377" s="1">
        <v>1904</v>
      </c>
      <c r="K377" s="4"/>
      <c r="L377" s="4"/>
      <c r="M377" s="4"/>
    </row>
    <row r="378" spans="8:13">
      <c r="H378" s="1" t="s">
        <v>675</v>
      </c>
      <c r="I378" s="1">
        <v>1904</v>
      </c>
      <c r="J378" s="1">
        <v>1904</v>
      </c>
      <c r="K378" s="4"/>
      <c r="L378" s="4"/>
      <c r="M378" s="4"/>
    </row>
    <row r="379" spans="8:13">
      <c r="H379" s="1" t="s">
        <v>676</v>
      </c>
      <c r="I379" s="1">
        <v>1904</v>
      </c>
      <c r="J379" s="1">
        <v>1904</v>
      </c>
      <c r="K379" s="4"/>
      <c r="L379" s="4"/>
      <c r="M379" s="4"/>
    </row>
    <row r="380" spans="8:13">
      <c r="H380" s="1" t="s">
        <v>677</v>
      </c>
      <c r="I380" s="1">
        <v>1904</v>
      </c>
      <c r="J380" s="1">
        <v>1904</v>
      </c>
      <c r="K380" s="4"/>
      <c r="L380" s="4"/>
      <c r="M380" s="4"/>
    </row>
    <row r="381" spans="8:13">
      <c r="H381" s="1" t="s">
        <v>678</v>
      </c>
      <c r="I381" s="1">
        <v>1904</v>
      </c>
      <c r="J381" s="1">
        <v>1904</v>
      </c>
      <c r="K381" s="4"/>
      <c r="L381" s="4"/>
      <c r="M381" s="4"/>
    </row>
    <row r="382" spans="8:13">
      <c r="H382" s="1" t="s">
        <v>679</v>
      </c>
      <c r="I382" s="1">
        <v>1904</v>
      </c>
      <c r="J382" s="1">
        <v>1904</v>
      </c>
      <c r="K382" s="4"/>
      <c r="L382" s="4"/>
      <c r="M382" s="4"/>
    </row>
    <row r="383" spans="8:13">
      <c r="H383" s="1" t="s">
        <v>680</v>
      </c>
      <c r="I383" s="1">
        <v>1904</v>
      </c>
      <c r="J383" s="1">
        <v>1904</v>
      </c>
      <c r="K383" s="4"/>
      <c r="L383" s="4"/>
      <c r="M383" s="4"/>
    </row>
    <row r="384" spans="8:13">
      <c r="H384" s="1" t="s">
        <v>681</v>
      </c>
      <c r="I384" s="1">
        <v>1904</v>
      </c>
      <c r="J384" s="1">
        <v>1904</v>
      </c>
      <c r="K384" s="4"/>
      <c r="L384" s="4"/>
      <c r="M384" s="4"/>
    </row>
    <row r="385" spans="8:13">
      <c r="H385" s="1" t="s">
        <v>682</v>
      </c>
      <c r="I385" s="1">
        <v>1904</v>
      </c>
      <c r="J385" s="1">
        <v>1904</v>
      </c>
      <c r="K385" s="4"/>
      <c r="L385" s="4"/>
      <c r="M385" s="4"/>
    </row>
    <row r="386" spans="8:13">
      <c r="H386" s="1" t="s">
        <v>683</v>
      </c>
      <c r="I386" s="1">
        <v>1904</v>
      </c>
      <c r="J386" s="1">
        <v>1904</v>
      </c>
      <c r="K386" s="4"/>
      <c r="L386" s="4"/>
      <c r="M386" s="4"/>
    </row>
    <row r="387" spans="8:13">
      <c r="H387" s="1" t="s">
        <v>684</v>
      </c>
      <c r="I387" s="1">
        <v>1904</v>
      </c>
      <c r="J387" s="1">
        <v>1904</v>
      </c>
      <c r="K387" s="4"/>
      <c r="L387" s="4"/>
      <c r="M387" s="4"/>
    </row>
    <row r="388" spans="8:13">
      <c r="H388" s="1" t="s">
        <v>685</v>
      </c>
      <c r="I388" s="1">
        <v>1904</v>
      </c>
      <c r="J388" s="1">
        <v>1904</v>
      </c>
      <c r="K388" s="4"/>
      <c r="L388" s="4"/>
      <c r="M388" s="4"/>
    </row>
    <row r="389" spans="8:13">
      <c r="H389" s="1" t="s">
        <v>686</v>
      </c>
      <c r="I389" s="1">
        <v>1904</v>
      </c>
      <c r="J389" s="1">
        <v>1904</v>
      </c>
      <c r="K389" s="4"/>
      <c r="L389" s="4"/>
      <c r="M389" s="4"/>
    </row>
    <row r="390" spans="8:13">
      <c r="H390" s="1" t="s">
        <v>687</v>
      </c>
      <c r="I390" s="1">
        <v>1904</v>
      </c>
      <c r="J390" s="1">
        <v>1904</v>
      </c>
      <c r="K390" s="4"/>
      <c r="L390" s="4"/>
      <c r="M390" s="4"/>
    </row>
    <row r="391" spans="8:13">
      <c r="H391" s="1" t="s">
        <v>688</v>
      </c>
      <c r="I391" s="1">
        <v>1904</v>
      </c>
      <c r="J391" s="1">
        <v>1904</v>
      </c>
      <c r="K391" s="4"/>
      <c r="L391" s="4"/>
      <c r="M391" s="4"/>
    </row>
    <row r="392" spans="8:13">
      <c r="H392" s="1" t="s">
        <v>689</v>
      </c>
      <c r="I392" s="1">
        <v>1904</v>
      </c>
      <c r="J392" s="1">
        <v>1904</v>
      </c>
      <c r="K392" s="4"/>
      <c r="L392" s="4"/>
      <c r="M392" s="4"/>
    </row>
    <row r="393" spans="8:13">
      <c r="H393" s="1" t="s">
        <v>690</v>
      </c>
      <c r="I393" s="1">
        <v>1904</v>
      </c>
      <c r="J393" s="1">
        <v>1904</v>
      </c>
      <c r="K393" s="4"/>
      <c r="L393" s="4"/>
      <c r="M393" s="4"/>
    </row>
    <row r="394" spans="8:13">
      <c r="H394" s="1" t="s">
        <v>691</v>
      </c>
      <c r="I394" s="1">
        <v>1904</v>
      </c>
      <c r="J394" s="1">
        <v>1904</v>
      </c>
      <c r="K394" s="4"/>
      <c r="L394" s="4"/>
      <c r="M394" s="4"/>
    </row>
    <row r="395" spans="8:13">
      <c r="H395" s="1" t="s">
        <v>692</v>
      </c>
      <c r="I395" s="1">
        <v>1904</v>
      </c>
      <c r="J395" s="1">
        <v>1904</v>
      </c>
      <c r="K395" s="4"/>
      <c r="L395" s="4"/>
      <c r="M395" s="4"/>
    </row>
    <row r="396" spans="8:13">
      <c r="H396" s="1" t="s">
        <v>693</v>
      </c>
      <c r="I396" s="1">
        <v>1904</v>
      </c>
      <c r="J396" s="1">
        <v>1904</v>
      </c>
      <c r="K396" s="4"/>
      <c r="L396" s="4"/>
      <c r="M396" s="4"/>
    </row>
    <row r="397" spans="8:13">
      <c r="H397" s="1" t="s">
        <v>694</v>
      </c>
      <c r="I397" s="1">
        <v>1904</v>
      </c>
      <c r="J397" s="1">
        <v>1904</v>
      </c>
      <c r="K397" s="4"/>
      <c r="L397" s="4"/>
      <c r="M397" s="4"/>
    </row>
    <row r="398" spans="8:13">
      <c r="H398" s="1" t="s">
        <v>695</v>
      </c>
      <c r="I398" s="1">
        <v>1904</v>
      </c>
      <c r="J398" s="1">
        <v>1904</v>
      </c>
      <c r="K398" s="4"/>
      <c r="L398" s="4"/>
      <c r="M398" s="4"/>
    </row>
    <row r="399" spans="8:13">
      <c r="H399" s="1" t="s">
        <v>696</v>
      </c>
      <c r="I399" s="1">
        <v>1904</v>
      </c>
      <c r="J399" s="1">
        <v>1904</v>
      </c>
      <c r="K399" s="4"/>
      <c r="L399" s="4"/>
      <c r="M399" s="4"/>
    </row>
    <row r="400" spans="8:13">
      <c r="H400" s="1" t="s">
        <v>697</v>
      </c>
      <c r="I400" s="1">
        <v>1904</v>
      </c>
      <c r="J400" s="1">
        <v>1904</v>
      </c>
      <c r="K400" s="4"/>
      <c r="L400" s="4"/>
      <c r="M400" s="4"/>
    </row>
    <row r="401" spans="8:13">
      <c r="H401" s="1" t="s">
        <v>698</v>
      </c>
      <c r="I401" s="1">
        <v>1904</v>
      </c>
      <c r="J401" s="1">
        <v>1904</v>
      </c>
      <c r="K401" s="4"/>
      <c r="L401" s="4"/>
      <c r="M401" s="4"/>
    </row>
    <row r="402" spans="8:13">
      <c r="H402" s="1" t="s">
        <v>699</v>
      </c>
      <c r="I402" s="1">
        <v>1904</v>
      </c>
      <c r="J402" s="1">
        <v>1904</v>
      </c>
      <c r="K402" s="4"/>
      <c r="L402" s="4"/>
      <c r="M402" s="4"/>
    </row>
    <row r="403" spans="8:13">
      <c r="H403" s="1" t="s">
        <v>700</v>
      </c>
      <c r="I403" s="1">
        <v>1904</v>
      </c>
      <c r="J403" s="1">
        <v>1904</v>
      </c>
      <c r="K403" s="4"/>
      <c r="L403" s="4"/>
      <c r="M403" s="4"/>
    </row>
    <row r="404" spans="8:13">
      <c r="H404" s="1" t="s">
        <v>701</v>
      </c>
      <c r="I404" s="1">
        <v>1904</v>
      </c>
      <c r="J404" s="1">
        <v>1904</v>
      </c>
      <c r="K404" s="4"/>
      <c r="L404" s="4"/>
      <c r="M404" s="4"/>
    </row>
    <row r="405" spans="8:13">
      <c r="H405" s="1" t="s">
        <v>702</v>
      </c>
      <c r="I405" s="1">
        <v>1900</v>
      </c>
      <c r="J405" s="1">
        <v>1900</v>
      </c>
      <c r="K405" s="4"/>
      <c r="L405" s="4"/>
      <c r="M405" s="4"/>
    </row>
    <row r="406" spans="8:13">
      <c r="H406" s="1" t="s">
        <v>703</v>
      </c>
      <c r="I406" s="1">
        <v>1900</v>
      </c>
      <c r="J406" s="1">
        <v>1900</v>
      </c>
      <c r="K406" s="4"/>
      <c r="L406" s="4"/>
      <c r="M406" s="4"/>
    </row>
    <row r="407" spans="8:13">
      <c r="H407" s="1" t="s">
        <v>704</v>
      </c>
      <c r="I407" s="1">
        <v>1900</v>
      </c>
      <c r="J407" s="1">
        <v>1900</v>
      </c>
      <c r="K407" s="4"/>
      <c r="L407" s="4"/>
      <c r="M407" s="4"/>
    </row>
    <row r="408" spans="8:13">
      <c r="H408" s="1" t="s">
        <v>705</v>
      </c>
      <c r="I408" s="1">
        <v>1900</v>
      </c>
      <c r="J408" s="1">
        <v>1900</v>
      </c>
      <c r="K408" s="4"/>
      <c r="L408" s="4"/>
      <c r="M408" s="4"/>
    </row>
    <row r="409" spans="8:13">
      <c r="H409" s="1" t="s">
        <v>706</v>
      </c>
      <c r="I409" s="1">
        <v>1900</v>
      </c>
      <c r="J409" s="1">
        <v>1900</v>
      </c>
      <c r="K409" s="4"/>
      <c r="L409" s="4"/>
      <c r="M409" s="4"/>
    </row>
    <row r="410" spans="8:13">
      <c r="H410" s="1" t="s">
        <v>707</v>
      </c>
      <c r="I410" s="1">
        <v>1900</v>
      </c>
      <c r="J410" s="1">
        <v>1900</v>
      </c>
      <c r="K410" s="4"/>
      <c r="L410" s="4"/>
      <c r="M410" s="4"/>
    </row>
    <row r="411" spans="8:13">
      <c r="H411" s="1" t="s">
        <v>708</v>
      </c>
      <c r="I411" s="1">
        <v>1900</v>
      </c>
      <c r="J411" s="1">
        <v>1900</v>
      </c>
      <c r="K411" s="4"/>
      <c r="L411" s="4"/>
      <c r="M411" s="4"/>
    </row>
    <row r="412" spans="8:13">
      <c r="H412" s="1" t="s">
        <v>709</v>
      </c>
      <c r="I412" s="1">
        <v>1896</v>
      </c>
      <c r="J412" s="1">
        <v>1900</v>
      </c>
      <c r="K412" s="4"/>
      <c r="L412" s="4"/>
      <c r="M412" s="4"/>
    </row>
    <row r="413" spans="8:13">
      <c r="H413" s="1" t="s">
        <v>710</v>
      </c>
      <c r="I413" s="1">
        <v>1900</v>
      </c>
      <c r="J413" s="1">
        <v>1900</v>
      </c>
      <c r="K413" s="4"/>
      <c r="L413" s="4"/>
      <c r="M413" s="4"/>
    </row>
    <row r="414" spans="8:13">
      <c r="H414" s="1" t="s">
        <v>711</v>
      </c>
      <c r="I414" s="1">
        <v>1900</v>
      </c>
      <c r="J414" s="1">
        <v>1900</v>
      </c>
      <c r="K414" s="4"/>
      <c r="L414" s="4"/>
      <c r="M414" s="4"/>
    </row>
    <row r="415" spans="8:13">
      <c r="H415" s="1" t="s">
        <v>712</v>
      </c>
      <c r="I415" s="1">
        <v>1900</v>
      </c>
      <c r="J415" s="1">
        <v>1900</v>
      </c>
      <c r="K415" s="4"/>
      <c r="L415" s="4"/>
      <c r="M415" s="4"/>
    </row>
    <row r="416" spans="8:13">
      <c r="H416" s="1" t="s">
        <v>713</v>
      </c>
      <c r="I416" s="1">
        <v>1900</v>
      </c>
      <c r="J416" s="1">
        <v>1900</v>
      </c>
      <c r="K416" s="4"/>
      <c r="L416" s="4"/>
      <c r="M416" s="4"/>
    </row>
    <row r="417" spans="8:13">
      <c r="H417" s="1" t="s">
        <v>714</v>
      </c>
      <c r="I417" s="1">
        <v>1900</v>
      </c>
      <c r="J417" s="1">
        <v>1900</v>
      </c>
      <c r="K417" s="4"/>
      <c r="L417" s="4"/>
      <c r="M417" s="4"/>
    </row>
    <row r="418" spans="8:13">
      <c r="H418" s="1" t="s">
        <v>715</v>
      </c>
      <c r="I418" s="1">
        <v>1900</v>
      </c>
      <c r="J418" s="1">
        <v>1900</v>
      </c>
      <c r="K418" s="4"/>
      <c r="L418" s="4"/>
      <c r="M418" s="4"/>
    </row>
    <row r="419" spans="8:13">
      <c r="H419" s="1" t="s">
        <v>716</v>
      </c>
      <c r="I419" s="1">
        <v>1900</v>
      </c>
      <c r="J419" s="1">
        <v>1900</v>
      </c>
      <c r="K419" s="4"/>
      <c r="L419" s="4"/>
      <c r="M419" s="4"/>
    </row>
    <row r="420" spans="8:13">
      <c r="H420" s="1" t="s">
        <v>717</v>
      </c>
      <c r="I420" s="1">
        <v>1900</v>
      </c>
      <c r="J420" s="1">
        <v>1900</v>
      </c>
      <c r="K420" s="4"/>
      <c r="L420" s="4"/>
      <c r="M420" s="4"/>
    </row>
    <row r="421" spans="8:13">
      <c r="H421" s="1" t="s">
        <v>718</v>
      </c>
      <c r="I421" s="1">
        <v>1900</v>
      </c>
      <c r="J421" s="1">
        <v>1900</v>
      </c>
      <c r="K421" s="4"/>
      <c r="L421" s="4"/>
      <c r="M421" s="4"/>
    </row>
    <row r="422" spans="8:13">
      <c r="H422" s="1" t="s">
        <v>719</v>
      </c>
      <c r="I422" s="1">
        <v>1900</v>
      </c>
      <c r="J422" s="1">
        <v>1900</v>
      </c>
      <c r="K422" s="4"/>
      <c r="L422" s="4"/>
      <c r="M422" s="4"/>
    </row>
    <row r="423" spans="8:13">
      <c r="H423" s="1" t="s">
        <v>720</v>
      </c>
      <c r="I423" s="1">
        <v>1900</v>
      </c>
      <c r="J423" s="1">
        <v>1900</v>
      </c>
      <c r="K423" s="4"/>
      <c r="L423" s="4"/>
      <c r="M423" s="4"/>
    </row>
    <row r="424" spans="8:13">
      <c r="H424" s="1" t="s">
        <v>721</v>
      </c>
      <c r="I424" s="1">
        <v>1900</v>
      </c>
      <c r="J424" s="1">
        <v>1900</v>
      </c>
      <c r="K424" s="4"/>
      <c r="L424" s="4"/>
      <c r="M424" s="4"/>
    </row>
    <row r="425" spans="8:13">
      <c r="H425" s="1" t="s">
        <v>722</v>
      </c>
      <c r="I425" s="1">
        <v>1900</v>
      </c>
      <c r="J425" s="1">
        <v>1900</v>
      </c>
      <c r="K425" s="4"/>
      <c r="L425" s="4"/>
      <c r="M425" s="4"/>
    </row>
    <row r="426" spans="8:13">
      <c r="H426" s="1" t="s">
        <v>723</v>
      </c>
      <c r="I426" s="1">
        <v>1900</v>
      </c>
      <c r="J426" s="1">
        <v>1900</v>
      </c>
      <c r="K426" s="4"/>
      <c r="L426" s="4"/>
      <c r="M426" s="4"/>
    </row>
    <row r="427" spans="8:13">
      <c r="H427" s="1" t="s">
        <v>724</v>
      </c>
      <c r="I427" s="1">
        <v>1900</v>
      </c>
      <c r="J427" s="1">
        <v>1900</v>
      </c>
      <c r="K427" s="4"/>
      <c r="L427" s="4"/>
      <c r="M427" s="4"/>
    </row>
    <row r="428" spans="8:13">
      <c r="H428" s="1" t="s">
        <v>725</v>
      </c>
      <c r="I428" s="1">
        <v>1900</v>
      </c>
      <c r="J428" s="1">
        <v>1900</v>
      </c>
      <c r="K428" s="4"/>
      <c r="L428" s="4"/>
      <c r="M428" s="4"/>
    </row>
    <row r="429" spans="8:13">
      <c r="H429" s="1" t="s">
        <v>726</v>
      </c>
      <c r="I429" s="1">
        <v>1900</v>
      </c>
      <c r="J429" s="1">
        <v>1900</v>
      </c>
      <c r="K429" s="4"/>
      <c r="L429" s="4"/>
      <c r="M429" s="4"/>
    </row>
    <row r="430" spans="8:13">
      <c r="H430" s="1" t="s">
        <v>727</v>
      </c>
      <c r="I430" s="1">
        <v>1900</v>
      </c>
      <c r="J430" s="1">
        <v>1900</v>
      </c>
      <c r="K430" s="4"/>
      <c r="L430" s="4"/>
      <c r="M430" s="4"/>
    </row>
    <row r="431" spans="8:13">
      <c r="H431" s="1" t="s">
        <v>728</v>
      </c>
      <c r="I431" s="1">
        <v>1900</v>
      </c>
      <c r="J431" s="1">
        <v>1900</v>
      </c>
      <c r="K431" s="4"/>
      <c r="L431" s="4"/>
      <c r="M431" s="4"/>
    </row>
    <row r="432" spans="8:13">
      <c r="H432" s="1" t="s">
        <v>729</v>
      </c>
      <c r="I432" s="1">
        <v>1900</v>
      </c>
      <c r="J432" s="1">
        <v>1900</v>
      </c>
      <c r="K432" s="4"/>
      <c r="L432" s="4"/>
      <c r="M432" s="4"/>
    </row>
    <row r="433" spans="8:13">
      <c r="H433" s="1" t="s">
        <v>730</v>
      </c>
      <c r="I433" s="1">
        <v>1900</v>
      </c>
      <c r="J433" s="1">
        <v>1900</v>
      </c>
      <c r="K433" s="4"/>
      <c r="L433" s="4"/>
      <c r="M433" s="4"/>
    </row>
    <row r="434" spans="8:13">
      <c r="H434" s="1" t="s">
        <v>731</v>
      </c>
      <c r="I434" s="1">
        <v>1900</v>
      </c>
      <c r="J434" s="1">
        <v>1900</v>
      </c>
      <c r="K434" s="4"/>
      <c r="L434" s="4"/>
      <c r="M434" s="4"/>
    </row>
    <row r="435" spans="8:13">
      <c r="H435" s="1" t="s">
        <v>732</v>
      </c>
      <c r="I435" s="1">
        <v>1900</v>
      </c>
      <c r="J435" s="1">
        <v>1900</v>
      </c>
      <c r="K435" s="4"/>
      <c r="L435" s="4"/>
      <c r="M435" s="4"/>
    </row>
    <row r="436" spans="8:13">
      <c r="H436" s="1" t="s">
        <v>733</v>
      </c>
      <c r="I436" s="1">
        <v>1900</v>
      </c>
      <c r="J436" s="1">
        <v>1900</v>
      </c>
      <c r="K436" s="4"/>
      <c r="L436" s="4"/>
      <c r="M436" s="4"/>
    </row>
    <row r="437" spans="8:13">
      <c r="H437" s="1" t="s">
        <v>734</v>
      </c>
      <c r="I437" s="1">
        <v>1900</v>
      </c>
      <c r="J437" s="1">
        <v>1900</v>
      </c>
      <c r="K437" s="4"/>
      <c r="L437" s="4"/>
      <c r="M437" s="4"/>
    </row>
    <row r="438" spans="8:13">
      <c r="H438" s="1" t="s">
        <v>735</v>
      </c>
      <c r="I438" s="1">
        <v>1900</v>
      </c>
      <c r="J438" s="1">
        <v>1900</v>
      </c>
      <c r="K438" s="4"/>
      <c r="L438" s="4"/>
      <c r="M438" s="4"/>
    </row>
    <row r="439" spans="8:13">
      <c r="H439" s="1" t="s">
        <v>736</v>
      </c>
      <c r="I439" s="1">
        <v>1900</v>
      </c>
      <c r="J439" s="1">
        <v>1900</v>
      </c>
      <c r="K439" s="4"/>
      <c r="L439" s="4"/>
      <c r="M439" s="4"/>
    </row>
    <row r="440" spans="8:13">
      <c r="H440" s="1" t="s">
        <v>737</v>
      </c>
      <c r="I440" s="1">
        <v>1900</v>
      </c>
      <c r="J440" s="1">
        <v>1900</v>
      </c>
      <c r="K440" s="4"/>
      <c r="L440" s="4"/>
      <c r="M440" s="4"/>
    </row>
    <row r="441" spans="8:13">
      <c r="H441" s="1" t="s">
        <v>738</v>
      </c>
      <c r="I441" s="1">
        <v>1900</v>
      </c>
      <c r="J441" s="1">
        <v>1900</v>
      </c>
      <c r="K441" s="4"/>
      <c r="L441" s="4"/>
      <c r="M441" s="4"/>
    </row>
    <row r="442" spans="8:13">
      <c r="H442" s="1" t="s">
        <v>739</v>
      </c>
      <c r="I442" s="1">
        <v>1900</v>
      </c>
      <c r="J442" s="1">
        <v>1900</v>
      </c>
      <c r="K442" s="4"/>
      <c r="L442" s="4"/>
      <c r="M442" s="4"/>
    </row>
    <row r="443" spans="8:13">
      <c r="H443" s="1" t="s">
        <v>740</v>
      </c>
      <c r="I443" s="1">
        <v>1900</v>
      </c>
      <c r="J443" s="1">
        <v>1900</v>
      </c>
      <c r="K443" s="4"/>
      <c r="L443" s="4"/>
      <c r="M443" s="4"/>
    </row>
    <row r="444" spans="8:13">
      <c r="H444" s="1" t="s">
        <v>741</v>
      </c>
      <c r="I444" s="1">
        <v>1896</v>
      </c>
      <c r="J444" s="1">
        <v>1896</v>
      </c>
      <c r="K444" s="4"/>
      <c r="L444" s="4"/>
      <c r="M444" s="4"/>
    </row>
    <row r="445" spans="8:13">
      <c r="H445" s="1" t="s">
        <v>742</v>
      </c>
      <c r="I445" s="1">
        <v>1896</v>
      </c>
      <c r="J445" s="1">
        <v>1896</v>
      </c>
      <c r="K445" s="4"/>
      <c r="L445" s="4"/>
      <c r="M445" s="4"/>
    </row>
    <row r="446" spans="8:13">
      <c r="H446" s="1" t="s">
        <v>743</v>
      </c>
      <c r="I446" s="1">
        <v>1896</v>
      </c>
      <c r="J446" s="1">
        <v>1896</v>
      </c>
      <c r="K446" s="4"/>
      <c r="L446" s="4"/>
      <c r="M446" s="4"/>
    </row>
    <row r="447" spans="8:13">
      <c r="H447" s="1" t="s">
        <v>744</v>
      </c>
      <c r="I447" s="1">
        <v>1896</v>
      </c>
      <c r="J447" s="1">
        <v>1896</v>
      </c>
      <c r="K447" s="4"/>
      <c r="L447" s="4"/>
      <c r="M447" s="4"/>
    </row>
    <row r="448" spans="8:13">
      <c r="H448" s="1" t="s">
        <v>745</v>
      </c>
      <c r="I448" s="1">
        <v>1896</v>
      </c>
      <c r="J448" s="1">
        <v>1896</v>
      </c>
      <c r="K448" s="4"/>
      <c r="L448" s="4"/>
      <c r="M448" s="4"/>
    </row>
    <row r="449" spans="8:13">
      <c r="H449" s="1" t="s">
        <v>746</v>
      </c>
      <c r="I449" s="1">
        <v>1896</v>
      </c>
      <c r="J449" s="1">
        <v>1896</v>
      </c>
      <c r="K449" s="4"/>
      <c r="L449" s="4"/>
      <c r="M449" s="4"/>
    </row>
    <row r="450" spans="8:13">
      <c r="H450" s="1" t="s">
        <v>747</v>
      </c>
      <c r="I450" s="1">
        <v>1896</v>
      </c>
      <c r="J450" s="1">
        <v>1896</v>
      </c>
      <c r="K450" s="4"/>
      <c r="L450" s="4"/>
      <c r="M450" s="4"/>
    </row>
    <row r="451" spans="8:13">
      <c r="H451" s="1" t="s">
        <v>748</v>
      </c>
      <c r="I451" s="1">
        <v>1896</v>
      </c>
      <c r="J451" s="1">
        <v>1896</v>
      </c>
      <c r="K451" s="4"/>
      <c r="L451" s="4"/>
      <c r="M451" s="4"/>
    </row>
    <row r="452" spans="8:13">
      <c r="H452" s="1" t="s">
        <v>749</v>
      </c>
      <c r="I452" s="1">
        <v>1896</v>
      </c>
      <c r="J452" s="1">
        <v>1896</v>
      </c>
      <c r="K452" s="4"/>
      <c r="L452" s="4"/>
      <c r="M452" s="4"/>
    </row>
    <row r="453" spans="8:13">
      <c r="H453" s="1" t="s">
        <v>750</v>
      </c>
      <c r="I453" s="1">
        <v>1896</v>
      </c>
      <c r="J453" s="1">
        <v>1896</v>
      </c>
      <c r="K453" s="4"/>
      <c r="L453" s="4"/>
      <c r="M453" s="4"/>
    </row>
    <row r="454" spans="8:13">
      <c r="H454" s="1" t="s">
        <v>751</v>
      </c>
      <c r="I454" s="1">
        <v>1896</v>
      </c>
      <c r="J454" s="1">
        <v>1896</v>
      </c>
      <c r="K454" s="4"/>
      <c r="L454" s="4"/>
      <c r="M454" s="4"/>
    </row>
  </sheetData>
  <mergeCells count="2">
    <mergeCell ref="A1:H1"/>
    <mergeCell ref="N3:O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A986C-DCC1-4B3B-9465-542EED85AD5E}">
  <dimension ref="A1:M38"/>
  <sheetViews>
    <sheetView workbookViewId="0">
      <selection activeCell="Y23" sqref="Y23"/>
    </sheetView>
  </sheetViews>
  <sheetFormatPr defaultRowHeight="15"/>
  <cols>
    <col min="6" max="6" width="17.140625" customWidth="1"/>
    <col min="8" max="8" width="15.85546875" customWidth="1"/>
    <col min="9" max="9" width="13.7109375" customWidth="1"/>
    <col min="10" max="10" width="16.42578125" customWidth="1"/>
    <col min="11" max="11" width="8.85546875" customWidth="1"/>
  </cols>
  <sheetData>
    <row r="1" spans="1:13">
      <c r="A1" s="32" t="s">
        <v>752</v>
      </c>
      <c r="B1" s="32"/>
      <c r="C1" s="32"/>
      <c r="D1" s="32"/>
      <c r="E1" s="32"/>
      <c r="F1" s="32"/>
      <c r="G1" s="32"/>
      <c r="H1" s="32"/>
    </row>
    <row r="3" spans="1:13">
      <c r="A3" s="3" t="s">
        <v>36</v>
      </c>
      <c r="B3" t="s">
        <v>57</v>
      </c>
      <c r="G3" s="3" t="s">
        <v>38</v>
      </c>
      <c r="H3" s="20" t="s">
        <v>40</v>
      </c>
      <c r="I3" s="20" t="s">
        <v>753</v>
      </c>
      <c r="J3" s="20" t="s">
        <v>754</v>
      </c>
      <c r="K3" s="8"/>
      <c r="L3" s="31" t="s">
        <v>42</v>
      </c>
      <c r="M3" s="31"/>
    </row>
    <row r="4" spans="1:13">
      <c r="B4" t="s">
        <v>45</v>
      </c>
      <c r="H4" s="1">
        <v>1896</v>
      </c>
      <c r="I4" s="1">
        <v>173.82</v>
      </c>
      <c r="J4" s="1">
        <v>69.91</v>
      </c>
    </row>
    <row r="5" spans="1:13">
      <c r="B5" t="s">
        <v>755</v>
      </c>
      <c r="H5" s="1">
        <v>1900</v>
      </c>
      <c r="I5" s="1">
        <v>176.03</v>
      </c>
      <c r="J5" s="1">
        <v>73.88</v>
      </c>
    </row>
    <row r="6" spans="1:13">
      <c r="B6" t="s">
        <v>756</v>
      </c>
      <c r="H6" s="1">
        <v>1904</v>
      </c>
      <c r="I6" s="1">
        <v>176.22</v>
      </c>
      <c r="J6" s="1">
        <v>71.900000000000006</v>
      </c>
    </row>
    <row r="7" spans="1:13">
      <c r="B7" t="s">
        <v>50</v>
      </c>
      <c r="H7" s="1">
        <v>1906</v>
      </c>
      <c r="I7" s="1">
        <v>177.49</v>
      </c>
      <c r="J7" s="1">
        <v>73.53</v>
      </c>
    </row>
    <row r="8" spans="1:13">
      <c r="B8" t="s">
        <v>757</v>
      </c>
      <c r="H8" s="1">
        <v>1908</v>
      </c>
      <c r="I8" s="1">
        <v>176.86</v>
      </c>
      <c r="J8" s="1">
        <v>72.650000000000006</v>
      </c>
    </row>
    <row r="9" spans="1:13">
      <c r="B9" t="s">
        <v>758</v>
      </c>
      <c r="H9" s="1">
        <v>1912</v>
      </c>
      <c r="I9" s="1">
        <v>177.63</v>
      </c>
      <c r="J9" s="1">
        <v>72.87</v>
      </c>
    </row>
    <row r="10" spans="1:13">
      <c r="B10" t="s">
        <v>759</v>
      </c>
      <c r="H10" s="1">
        <v>1920</v>
      </c>
      <c r="I10" s="1">
        <v>176.47</v>
      </c>
      <c r="J10" s="1">
        <v>72.52</v>
      </c>
    </row>
    <row r="11" spans="1:13">
      <c r="B11" t="s">
        <v>760</v>
      </c>
      <c r="H11" s="1">
        <v>1924</v>
      </c>
      <c r="I11" s="1">
        <v>176</v>
      </c>
      <c r="J11" s="1">
        <v>72.13</v>
      </c>
    </row>
    <row r="12" spans="1:13">
      <c r="B12" t="s">
        <v>761</v>
      </c>
      <c r="H12" s="1">
        <v>1928</v>
      </c>
      <c r="I12" s="1">
        <v>176.38</v>
      </c>
      <c r="J12" s="1">
        <v>71.61</v>
      </c>
    </row>
    <row r="13" spans="1:13">
      <c r="B13" t="s">
        <v>52</v>
      </c>
      <c r="H13" s="1">
        <v>1932</v>
      </c>
      <c r="I13" s="1">
        <v>175.72</v>
      </c>
      <c r="J13" s="1">
        <v>70.819999999999993</v>
      </c>
    </row>
    <row r="14" spans="1:13">
      <c r="B14" t="s">
        <v>762</v>
      </c>
      <c r="H14" s="1">
        <v>1936</v>
      </c>
      <c r="I14" s="1">
        <v>176.53</v>
      </c>
      <c r="J14" s="1">
        <v>71.89</v>
      </c>
    </row>
    <row r="15" spans="1:13">
      <c r="B15" t="s">
        <v>763</v>
      </c>
      <c r="H15" s="1">
        <v>1948</v>
      </c>
      <c r="I15" s="1">
        <v>177.16</v>
      </c>
      <c r="J15" s="1">
        <v>72.88</v>
      </c>
    </row>
    <row r="16" spans="1:13">
      <c r="B16" t="s">
        <v>764</v>
      </c>
      <c r="H16" s="1">
        <v>1952</v>
      </c>
      <c r="I16" s="1">
        <v>176.24</v>
      </c>
      <c r="J16" s="1">
        <v>72.53</v>
      </c>
    </row>
    <row r="17" spans="2:10">
      <c r="B17" t="s">
        <v>765</v>
      </c>
      <c r="H17" s="1">
        <v>1956</v>
      </c>
      <c r="I17" s="1">
        <v>175.72</v>
      </c>
      <c r="J17" s="1">
        <v>72.78</v>
      </c>
    </row>
    <row r="18" spans="2:10">
      <c r="B18" t="s">
        <v>766</v>
      </c>
      <c r="H18" s="1">
        <v>1960</v>
      </c>
      <c r="I18" s="1">
        <v>174.99</v>
      </c>
      <c r="J18" s="1">
        <v>71.63</v>
      </c>
    </row>
    <row r="19" spans="2:10">
      <c r="B19" t="s">
        <v>767</v>
      </c>
      <c r="H19" s="1">
        <v>1964</v>
      </c>
      <c r="I19" s="1">
        <v>175.16</v>
      </c>
      <c r="J19" s="1">
        <v>71.89</v>
      </c>
    </row>
    <row r="20" spans="2:10">
      <c r="H20" s="1">
        <v>1968</v>
      </c>
      <c r="I20" s="1">
        <v>175.67</v>
      </c>
      <c r="J20" s="1">
        <v>72.010000000000005</v>
      </c>
    </row>
    <row r="21" spans="2:10">
      <c r="B21" t="s">
        <v>244</v>
      </c>
      <c r="H21" s="1">
        <v>1972</v>
      </c>
      <c r="I21" s="1">
        <v>176.32</v>
      </c>
      <c r="J21" s="1">
        <v>72.650000000000006</v>
      </c>
    </row>
    <row r="22" spans="2:10">
      <c r="B22" t="s">
        <v>245</v>
      </c>
      <c r="H22" s="1">
        <v>1976</v>
      </c>
      <c r="I22" s="1">
        <v>176.62</v>
      </c>
      <c r="J22" s="1">
        <v>72.790000000000006</v>
      </c>
    </row>
    <row r="23" spans="2:10">
      <c r="B23" t="s">
        <v>246</v>
      </c>
      <c r="H23" s="1">
        <v>1980</v>
      </c>
      <c r="I23" s="1">
        <v>177.12</v>
      </c>
      <c r="J23" s="1">
        <v>73.17</v>
      </c>
    </row>
    <row r="24" spans="2:10">
      <c r="B24" t="s">
        <v>247</v>
      </c>
      <c r="H24" s="1">
        <v>1984</v>
      </c>
      <c r="I24" s="1">
        <v>176.79</v>
      </c>
      <c r="J24" s="1">
        <v>72.150000000000006</v>
      </c>
    </row>
    <row r="25" spans="2:10">
      <c r="B25" t="s">
        <v>248</v>
      </c>
      <c r="H25" s="1">
        <v>1988</v>
      </c>
      <c r="I25" s="1">
        <v>177.11</v>
      </c>
      <c r="J25" s="1">
        <v>72.62</v>
      </c>
    </row>
    <row r="26" spans="2:10">
      <c r="H26" s="1">
        <v>1992</v>
      </c>
      <c r="I26" s="1">
        <v>177.41</v>
      </c>
      <c r="J26" s="1">
        <v>73</v>
      </c>
    </row>
    <row r="27" spans="2:10">
      <c r="H27" s="1">
        <v>1994</v>
      </c>
      <c r="I27" s="1">
        <v>175.91</v>
      </c>
      <c r="J27" s="1">
        <v>73.03</v>
      </c>
    </row>
    <row r="28" spans="2:10">
      <c r="H28" s="1">
        <v>1996</v>
      </c>
      <c r="I28" s="1">
        <v>177.36</v>
      </c>
      <c r="J28" s="1">
        <v>72.77</v>
      </c>
    </row>
    <row r="29" spans="2:10">
      <c r="H29" s="1">
        <v>1998</v>
      </c>
      <c r="I29" s="1">
        <v>174.97</v>
      </c>
      <c r="J29" s="1">
        <v>72.63</v>
      </c>
    </row>
    <row r="30" spans="2:10">
      <c r="H30" s="1">
        <v>2000</v>
      </c>
      <c r="I30" s="1">
        <v>177.16</v>
      </c>
      <c r="J30" s="1">
        <v>72.569999999999993</v>
      </c>
    </row>
    <row r="31" spans="2:10">
      <c r="H31" s="1">
        <v>2002</v>
      </c>
      <c r="I31" s="1">
        <v>175.28</v>
      </c>
      <c r="J31" s="1">
        <v>73.239999999999995</v>
      </c>
    </row>
    <row r="32" spans="2:10">
      <c r="H32" s="1">
        <v>2004</v>
      </c>
      <c r="I32" s="1">
        <v>177.03</v>
      </c>
      <c r="J32" s="1">
        <v>72.709999999999994</v>
      </c>
    </row>
    <row r="33" spans="8:10">
      <c r="H33" s="1">
        <v>2006</v>
      </c>
      <c r="I33" s="1">
        <v>175.04</v>
      </c>
      <c r="J33" s="1">
        <v>72.290000000000006</v>
      </c>
    </row>
    <row r="34" spans="8:10">
      <c r="H34" s="1">
        <v>2008</v>
      </c>
      <c r="I34" s="1">
        <v>177.07</v>
      </c>
      <c r="J34" s="1">
        <v>72.55</v>
      </c>
    </row>
    <row r="35" spans="8:10">
      <c r="H35" s="1">
        <v>2010</v>
      </c>
      <c r="I35" s="1">
        <v>175.33</v>
      </c>
      <c r="J35" s="1">
        <v>72.52</v>
      </c>
    </row>
    <row r="36" spans="8:10">
      <c r="H36" s="1">
        <v>2012</v>
      </c>
      <c r="I36" s="1">
        <v>177.1</v>
      </c>
      <c r="J36" s="1">
        <v>72.31</v>
      </c>
    </row>
    <row r="37" spans="8:10">
      <c r="H37" s="1">
        <v>2014</v>
      </c>
      <c r="I37" s="1">
        <v>175.32</v>
      </c>
      <c r="J37" s="1">
        <v>72.45</v>
      </c>
    </row>
    <row r="38" spans="8:10">
      <c r="H38" s="1">
        <v>2016</v>
      </c>
      <c r="I38" s="1">
        <v>176.69</v>
      </c>
      <c r="J38" s="1">
        <v>71.92</v>
      </c>
    </row>
  </sheetData>
  <mergeCells count="2">
    <mergeCell ref="A1:H1"/>
    <mergeCell ref="L3:M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60C57-613C-4BEA-B154-89E1019C261D}">
  <dimension ref="A1:O70"/>
  <sheetViews>
    <sheetView workbookViewId="0">
      <selection activeCell="K1" sqref="K1"/>
    </sheetView>
  </sheetViews>
  <sheetFormatPr defaultRowHeight="15"/>
  <cols>
    <col min="6" max="6" width="17.140625" customWidth="1"/>
    <col min="8" max="8" width="15.85546875" customWidth="1"/>
    <col min="9" max="9" width="13.7109375" customWidth="1"/>
    <col min="10" max="11" width="16.42578125" customWidth="1"/>
    <col min="12" max="12" width="33.42578125" customWidth="1"/>
    <col min="13" max="13" width="14.28515625" customWidth="1"/>
  </cols>
  <sheetData>
    <row r="1" spans="1:15">
      <c r="A1" s="32" t="s">
        <v>768</v>
      </c>
      <c r="B1" s="32"/>
      <c r="C1" s="32"/>
      <c r="D1" s="32"/>
      <c r="E1" s="32"/>
      <c r="F1" s="32"/>
      <c r="G1" s="32"/>
      <c r="H1" s="32"/>
    </row>
    <row r="3" spans="1:15">
      <c r="A3" s="3" t="s">
        <v>36</v>
      </c>
      <c r="B3" t="s">
        <v>769</v>
      </c>
      <c r="G3" s="3" t="s">
        <v>38</v>
      </c>
      <c r="H3" s="19" t="s">
        <v>126</v>
      </c>
      <c r="I3" s="19" t="s">
        <v>770</v>
      </c>
      <c r="J3" s="7" t="s">
        <v>771</v>
      </c>
      <c r="K3" s="7"/>
      <c r="L3" s="15" t="s">
        <v>772</v>
      </c>
      <c r="M3" s="16" t="s">
        <v>771</v>
      </c>
      <c r="N3" s="31" t="s">
        <v>42</v>
      </c>
      <c r="O3" s="31"/>
    </row>
    <row r="4" spans="1:15">
      <c r="B4" t="s">
        <v>773</v>
      </c>
      <c r="H4" s="1" t="s">
        <v>199</v>
      </c>
      <c r="I4" s="1" t="s">
        <v>222</v>
      </c>
      <c r="J4" s="1">
        <v>1038</v>
      </c>
      <c r="K4" s="4"/>
      <c r="L4" t="str">
        <f>H4&amp;" - "&amp;I4</f>
        <v>Swimming - USA</v>
      </c>
      <c r="M4" s="4">
        <v>1038</v>
      </c>
    </row>
    <row r="5" spans="1:15">
      <c r="B5" t="s">
        <v>774</v>
      </c>
      <c r="H5" s="1" t="s">
        <v>198</v>
      </c>
      <c r="I5" s="1" t="s">
        <v>222</v>
      </c>
      <c r="J5" s="1">
        <v>1035</v>
      </c>
      <c r="K5" s="4"/>
      <c r="L5" t="str">
        <f t="shared" ref="L5:L68" si="0">H5&amp;" - "&amp;I5</f>
        <v>Athletics - USA</v>
      </c>
      <c r="M5" s="4">
        <v>1035</v>
      </c>
    </row>
    <row r="6" spans="1:15">
      <c r="B6" t="s">
        <v>775</v>
      </c>
      <c r="H6" s="1" t="s">
        <v>202</v>
      </c>
      <c r="I6" s="1" t="s">
        <v>776</v>
      </c>
      <c r="J6" s="1">
        <v>358</v>
      </c>
      <c r="K6" s="4"/>
      <c r="L6" t="str">
        <f t="shared" si="0"/>
        <v>Fencing - Italy</v>
      </c>
      <c r="M6" s="4">
        <v>358</v>
      </c>
    </row>
    <row r="7" spans="1:15">
      <c r="B7" t="s">
        <v>777</v>
      </c>
      <c r="H7" s="1" t="s">
        <v>185</v>
      </c>
      <c r="I7" s="1" t="s">
        <v>222</v>
      </c>
      <c r="J7" s="1">
        <v>348</v>
      </c>
      <c r="K7" s="4"/>
      <c r="L7" t="str">
        <f t="shared" si="0"/>
        <v>Rowing - USA</v>
      </c>
      <c r="M7" s="4">
        <v>348</v>
      </c>
    </row>
    <row r="8" spans="1:15">
      <c r="B8" t="s">
        <v>52</v>
      </c>
      <c r="H8" s="1" t="s">
        <v>171</v>
      </c>
      <c r="I8" s="1" t="s">
        <v>778</v>
      </c>
      <c r="J8" s="1">
        <v>347</v>
      </c>
      <c r="K8" s="4"/>
      <c r="L8" t="str">
        <f t="shared" si="0"/>
        <v>Ice Hockey - Canada</v>
      </c>
      <c r="M8" s="4">
        <v>347</v>
      </c>
    </row>
    <row r="9" spans="1:15">
      <c r="B9" t="s">
        <v>779</v>
      </c>
      <c r="H9" s="1" t="s">
        <v>159</v>
      </c>
      <c r="I9" s="1" t="s">
        <v>222</v>
      </c>
      <c r="J9" s="1">
        <v>331</v>
      </c>
      <c r="K9" s="4"/>
      <c r="L9" t="str">
        <f t="shared" si="0"/>
        <v>Basketball - USA</v>
      </c>
      <c r="M9" s="4">
        <v>331</v>
      </c>
    </row>
    <row r="10" spans="1:15">
      <c r="B10" t="s">
        <v>780</v>
      </c>
      <c r="H10" s="1" t="s">
        <v>200</v>
      </c>
      <c r="I10" s="1" t="s">
        <v>781</v>
      </c>
      <c r="J10" s="1">
        <v>290</v>
      </c>
      <c r="K10" s="4"/>
      <c r="L10" t="str">
        <f t="shared" si="0"/>
        <v>Gymnastics - Soviet Union</v>
      </c>
      <c r="M10" s="4">
        <v>290</v>
      </c>
    </row>
    <row r="11" spans="1:15">
      <c r="B11" t="s">
        <v>782</v>
      </c>
      <c r="H11" s="1" t="s">
        <v>175</v>
      </c>
      <c r="I11" s="1" t="s">
        <v>783</v>
      </c>
      <c r="J11" s="1">
        <v>255</v>
      </c>
      <c r="K11" s="4"/>
      <c r="L11" t="str">
        <f t="shared" si="0"/>
        <v>Hockey - Netherlands</v>
      </c>
      <c r="M11" s="4">
        <v>255</v>
      </c>
    </row>
    <row r="12" spans="1:15">
      <c r="B12" t="s">
        <v>784</v>
      </c>
      <c r="H12" s="1" t="s">
        <v>197</v>
      </c>
      <c r="I12" s="1" t="s">
        <v>222</v>
      </c>
      <c r="J12" s="1">
        <v>191</v>
      </c>
      <c r="K12" s="4"/>
      <c r="L12" t="str">
        <f t="shared" si="0"/>
        <v>Shooting - USA</v>
      </c>
      <c r="M12" s="4">
        <v>191</v>
      </c>
    </row>
    <row r="13" spans="1:15">
      <c r="B13" t="s">
        <v>785</v>
      </c>
      <c r="H13" s="1" t="s">
        <v>160</v>
      </c>
      <c r="I13" s="1" t="s">
        <v>786</v>
      </c>
      <c r="J13" s="1">
        <v>184</v>
      </c>
      <c r="K13" s="4"/>
      <c r="L13" t="str">
        <f t="shared" si="0"/>
        <v>Canoeing - Germany</v>
      </c>
      <c r="M13" s="4">
        <v>184</v>
      </c>
    </row>
    <row r="14" spans="1:15">
      <c r="B14" t="s">
        <v>787</v>
      </c>
      <c r="H14" s="1" t="s">
        <v>194</v>
      </c>
      <c r="I14" s="1" t="s">
        <v>786</v>
      </c>
      <c r="J14" s="1">
        <v>179</v>
      </c>
      <c r="K14" s="4"/>
      <c r="L14" t="str">
        <f t="shared" si="0"/>
        <v>Equestrianism - Germany</v>
      </c>
      <c r="M14" s="4">
        <v>179</v>
      </c>
    </row>
    <row r="15" spans="1:15">
      <c r="B15" t="s">
        <v>788</v>
      </c>
      <c r="H15" s="1" t="s">
        <v>195</v>
      </c>
      <c r="I15" s="1" t="s">
        <v>789</v>
      </c>
      <c r="J15" s="1">
        <v>172</v>
      </c>
      <c r="K15" s="4"/>
      <c r="L15" t="str">
        <f t="shared" si="0"/>
        <v>Water Polo - Hungary</v>
      </c>
      <c r="M15" s="4">
        <v>172</v>
      </c>
    </row>
    <row r="16" spans="1:15">
      <c r="B16" t="s">
        <v>773</v>
      </c>
      <c r="H16" s="1" t="s">
        <v>196</v>
      </c>
      <c r="I16" s="1" t="s">
        <v>220</v>
      </c>
      <c r="J16" s="1">
        <v>172</v>
      </c>
      <c r="K16" s="4"/>
      <c r="L16" t="str">
        <f t="shared" si="0"/>
        <v>Cycling - UK</v>
      </c>
      <c r="M16" s="4">
        <v>172</v>
      </c>
    </row>
    <row r="17" spans="2:13">
      <c r="B17" t="s">
        <v>774</v>
      </c>
      <c r="H17" s="1" t="s">
        <v>167</v>
      </c>
      <c r="I17" s="1" t="s">
        <v>790</v>
      </c>
      <c r="J17" s="1">
        <v>164</v>
      </c>
      <c r="K17" s="4"/>
      <c r="L17" t="str">
        <f t="shared" si="0"/>
        <v>Cross Country Skiing - Norway</v>
      </c>
      <c r="M17" s="4">
        <v>164</v>
      </c>
    </row>
    <row r="18" spans="2:13">
      <c r="B18" t="s">
        <v>775</v>
      </c>
      <c r="H18" s="1" t="s">
        <v>155</v>
      </c>
      <c r="I18" s="1" t="s">
        <v>781</v>
      </c>
      <c r="J18" s="1">
        <v>146</v>
      </c>
      <c r="K18" s="4"/>
      <c r="L18" t="str">
        <f t="shared" si="0"/>
        <v>Volleyball - Soviet Union</v>
      </c>
      <c r="M18" s="4">
        <v>146</v>
      </c>
    </row>
    <row r="19" spans="2:13">
      <c r="B19" t="s">
        <v>791</v>
      </c>
      <c r="H19" s="1" t="s">
        <v>179</v>
      </c>
      <c r="I19" s="1" t="s">
        <v>222</v>
      </c>
      <c r="J19" s="1">
        <v>138</v>
      </c>
      <c r="K19" s="4"/>
    </row>
    <row r="20" spans="2:13">
      <c r="B20" t="s">
        <v>792</v>
      </c>
      <c r="H20" s="1" t="s">
        <v>187</v>
      </c>
      <c r="I20" s="1" t="s">
        <v>220</v>
      </c>
      <c r="J20" s="1">
        <v>137</v>
      </c>
      <c r="K20" s="4"/>
    </row>
    <row r="21" spans="2:13">
      <c r="B21" t="s">
        <v>793</v>
      </c>
      <c r="H21" s="1" t="s">
        <v>184</v>
      </c>
      <c r="I21" s="1" t="s">
        <v>794</v>
      </c>
      <c r="J21" s="1">
        <v>136</v>
      </c>
      <c r="K21" s="4"/>
    </row>
    <row r="22" spans="2:13">
      <c r="B22" t="s">
        <v>795</v>
      </c>
      <c r="H22" s="1" t="s">
        <v>204</v>
      </c>
      <c r="I22" s="1" t="s">
        <v>781</v>
      </c>
      <c r="J22" s="1">
        <v>125</v>
      </c>
      <c r="K22" s="4"/>
    </row>
    <row r="23" spans="2:13">
      <c r="B23" t="s">
        <v>796</v>
      </c>
      <c r="H23" s="1" t="s">
        <v>164</v>
      </c>
      <c r="I23" s="1" t="s">
        <v>783</v>
      </c>
      <c r="J23" s="1">
        <v>118</v>
      </c>
      <c r="K23" s="4"/>
    </row>
    <row r="24" spans="2:13">
      <c r="B24" t="s">
        <v>797</v>
      </c>
      <c r="H24" s="1" t="s">
        <v>158</v>
      </c>
      <c r="I24" s="1" t="s">
        <v>798</v>
      </c>
      <c r="J24" s="1">
        <v>114</v>
      </c>
      <c r="K24" s="4"/>
    </row>
    <row r="25" spans="2:13">
      <c r="B25" t="s">
        <v>799</v>
      </c>
      <c r="H25" s="1" t="s">
        <v>142</v>
      </c>
      <c r="I25" s="1" t="s">
        <v>800</v>
      </c>
      <c r="J25" s="1">
        <v>112</v>
      </c>
      <c r="K25" s="4"/>
    </row>
    <row r="26" spans="2:13">
      <c r="B26" t="s">
        <v>57</v>
      </c>
      <c r="H26" s="1" t="s">
        <v>181</v>
      </c>
      <c r="I26" s="1" t="s">
        <v>222</v>
      </c>
      <c r="J26" s="1">
        <v>105</v>
      </c>
      <c r="K26" s="4"/>
    </row>
    <row r="27" spans="2:13">
      <c r="B27" t="s">
        <v>206</v>
      </c>
      <c r="H27" s="1" t="s">
        <v>161</v>
      </c>
      <c r="I27" s="1" t="s">
        <v>781</v>
      </c>
      <c r="J27" s="1">
        <v>97</v>
      </c>
      <c r="K27" s="4"/>
    </row>
    <row r="28" spans="2:13">
      <c r="B28" t="s">
        <v>801</v>
      </c>
      <c r="H28" s="1" t="s">
        <v>170</v>
      </c>
      <c r="I28" s="1" t="s">
        <v>224</v>
      </c>
      <c r="J28" s="1">
        <v>92</v>
      </c>
      <c r="K28" s="4"/>
    </row>
    <row r="29" spans="2:13">
      <c r="B29" t="s">
        <v>802</v>
      </c>
      <c r="H29" s="1" t="s">
        <v>156</v>
      </c>
      <c r="I29" s="1" t="s">
        <v>786</v>
      </c>
      <c r="J29" s="1">
        <v>85</v>
      </c>
      <c r="K29" s="4"/>
    </row>
    <row r="30" spans="2:13">
      <c r="B30" t="s">
        <v>803</v>
      </c>
      <c r="H30" s="1" t="s">
        <v>153</v>
      </c>
      <c r="I30" s="1" t="s">
        <v>804</v>
      </c>
      <c r="J30" s="1">
        <v>84</v>
      </c>
      <c r="K30" s="4"/>
    </row>
    <row r="31" spans="2:13">
      <c r="B31" t="s">
        <v>805</v>
      </c>
      <c r="H31" s="1" t="s">
        <v>150</v>
      </c>
      <c r="I31" s="1" t="s">
        <v>806</v>
      </c>
      <c r="J31" s="1">
        <v>83</v>
      </c>
      <c r="K31" s="4"/>
    </row>
    <row r="32" spans="2:13">
      <c r="B32" t="s">
        <v>807</v>
      </c>
      <c r="H32" s="1" t="s">
        <v>146</v>
      </c>
      <c r="I32" s="1" t="s">
        <v>808</v>
      </c>
      <c r="J32" s="1">
        <v>77</v>
      </c>
      <c r="K32" s="4"/>
    </row>
    <row r="33" spans="8:11">
      <c r="H33" s="1" t="s">
        <v>190</v>
      </c>
      <c r="I33" s="1" t="s">
        <v>808</v>
      </c>
      <c r="J33" s="1">
        <v>69</v>
      </c>
      <c r="K33" s="4"/>
    </row>
    <row r="34" spans="8:11">
      <c r="H34" s="1" t="s">
        <v>203</v>
      </c>
      <c r="I34" s="1" t="s">
        <v>781</v>
      </c>
      <c r="J34" s="1">
        <v>66</v>
      </c>
      <c r="K34" s="4"/>
    </row>
    <row r="35" spans="8:11">
      <c r="H35" s="1" t="s">
        <v>201</v>
      </c>
      <c r="I35" s="1" t="s">
        <v>220</v>
      </c>
      <c r="J35" s="1">
        <v>65</v>
      </c>
      <c r="K35" s="4"/>
    </row>
    <row r="36" spans="8:11">
      <c r="H36" s="1" t="s">
        <v>148</v>
      </c>
      <c r="I36" s="1" t="s">
        <v>806</v>
      </c>
      <c r="J36" s="1">
        <v>64</v>
      </c>
      <c r="K36" s="4"/>
    </row>
    <row r="37" spans="8:11">
      <c r="H37" s="1" t="s">
        <v>174</v>
      </c>
      <c r="I37" s="1" t="s">
        <v>222</v>
      </c>
      <c r="J37" s="1">
        <v>61</v>
      </c>
      <c r="K37" s="4"/>
    </row>
    <row r="38" spans="8:11">
      <c r="H38" s="1" t="s">
        <v>140</v>
      </c>
      <c r="I38" s="1" t="s">
        <v>222</v>
      </c>
      <c r="J38" s="1">
        <v>60</v>
      </c>
      <c r="K38" s="4"/>
    </row>
    <row r="39" spans="8:11">
      <c r="H39" s="1" t="s">
        <v>154</v>
      </c>
      <c r="I39" s="1" t="s">
        <v>786</v>
      </c>
      <c r="J39" s="1">
        <v>57</v>
      </c>
      <c r="K39" s="4"/>
    </row>
    <row r="40" spans="8:11">
      <c r="H40" s="1" t="s">
        <v>152</v>
      </c>
      <c r="I40" s="1" t="s">
        <v>809</v>
      </c>
      <c r="J40" s="1">
        <v>54</v>
      </c>
      <c r="K40" s="4"/>
    </row>
    <row r="41" spans="8:11">
      <c r="H41" s="1" t="s">
        <v>165</v>
      </c>
      <c r="I41" s="1" t="s">
        <v>778</v>
      </c>
      <c r="J41" s="1">
        <v>48</v>
      </c>
      <c r="K41" s="4"/>
    </row>
    <row r="42" spans="8:11">
      <c r="H42" s="1" t="s">
        <v>151</v>
      </c>
      <c r="I42" s="1" t="s">
        <v>809</v>
      </c>
      <c r="J42" s="1">
        <v>45</v>
      </c>
      <c r="K42" s="4"/>
    </row>
    <row r="43" spans="8:11">
      <c r="H43" s="1" t="s">
        <v>186</v>
      </c>
      <c r="I43" s="1" t="s">
        <v>218</v>
      </c>
      <c r="J43" s="1">
        <v>43</v>
      </c>
      <c r="K43" s="4"/>
    </row>
    <row r="44" spans="8:11">
      <c r="H44" s="1" t="s">
        <v>169</v>
      </c>
      <c r="I44" s="1" t="s">
        <v>798</v>
      </c>
      <c r="J44" s="1">
        <v>43</v>
      </c>
      <c r="K44" s="4"/>
    </row>
    <row r="45" spans="8:11">
      <c r="H45" s="1" t="s">
        <v>166</v>
      </c>
      <c r="I45" s="1" t="s">
        <v>790</v>
      </c>
      <c r="J45" s="1">
        <v>40</v>
      </c>
      <c r="K45" s="4"/>
    </row>
    <row r="46" spans="8:11">
      <c r="H46" s="1" t="s">
        <v>173</v>
      </c>
      <c r="I46" s="1" t="s">
        <v>789</v>
      </c>
      <c r="J46" s="1">
        <v>38</v>
      </c>
      <c r="K46" s="4"/>
    </row>
    <row r="47" spans="8:11">
      <c r="H47" s="1" t="s">
        <v>193</v>
      </c>
      <c r="I47" s="1" t="s">
        <v>220</v>
      </c>
      <c r="J47" s="1">
        <v>37</v>
      </c>
      <c r="K47" s="4"/>
    </row>
    <row r="48" spans="8:11">
      <c r="H48" s="1" t="s">
        <v>191</v>
      </c>
      <c r="I48" s="1" t="s">
        <v>222</v>
      </c>
      <c r="J48" s="1">
        <v>36</v>
      </c>
      <c r="K48" s="4"/>
    </row>
    <row r="49" spans="8:11">
      <c r="H49" s="1" t="s">
        <v>183</v>
      </c>
      <c r="I49" s="1" t="s">
        <v>220</v>
      </c>
      <c r="J49" s="1">
        <v>29</v>
      </c>
      <c r="K49" s="4"/>
    </row>
    <row r="50" spans="8:11">
      <c r="H50" s="1" t="s">
        <v>172</v>
      </c>
      <c r="I50" s="1" t="s">
        <v>786</v>
      </c>
      <c r="J50" s="1">
        <v>26</v>
      </c>
      <c r="K50" s="4"/>
    </row>
    <row r="51" spans="8:11">
      <c r="H51" s="1" t="s">
        <v>139</v>
      </c>
      <c r="I51" s="1" t="s">
        <v>794</v>
      </c>
      <c r="J51" s="1">
        <v>26</v>
      </c>
      <c r="K51" s="4"/>
    </row>
    <row r="52" spans="8:11">
      <c r="H52" s="1" t="s">
        <v>137</v>
      </c>
      <c r="I52" s="1" t="s">
        <v>222</v>
      </c>
      <c r="J52" s="1">
        <v>24</v>
      </c>
      <c r="K52" s="4"/>
    </row>
    <row r="53" spans="8:11">
      <c r="H53" s="1" t="s">
        <v>182</v>
      </c>
      <c r="I53" s="1" t="s">
        <v>778</v>
      </c>
      <c r="J53" s="1">
        <v>23</v>
      </c>
      <c r="K53" s="4"/>
    </row>
    <row r="54" spans="8:11">
      <c r="H54" s="1" t="s">
        <v>144</v>
      </c>
      <c r="I54" s="1" t="s">
        <v>222</v>
      </c>
      <c r="J54" s="1">
        <v>21</v>
      </c>
      <c r="K54" s="4"/>
    </row>
    <row r="55" spans="8:11">
      <c r="H55" s="1" t="s">
        <v>135</v>
      </c>
      <c r="I55" s="1" t="s">
        <v>808</v>
      </c>
      <c r="J55" s="1">
        <v>19</v>
      </c>
      <c r="K55" s="4"/>
    </row>
    <row r="56" spans="8:11">
      <c r="H56" s="1" t="s">
        <v>192</v>
      </c>
      <c r="I56" s="1" t="s">
        <v>220</v>
      </c>
      <c r="J56" s="1">
        <v>17</v>
      </c>
      <c r="K56" s="4"/>
    </row>
    <row r="57" spans="8:11">
      <c r="H57" s="1" t="s">
        <v>129</v>
      </c>
      <c r="I57" s="1" t="s">
        <v>810</v>
      </c>
      <c r="J57" s="1">
        <v>13</v>
      </c>
      <c r="K57" s="4"/>
    </row>
    <row r="58" spans="8:11">
      <c r="H58" s="1" t="s">
        <v>133</v>
      </c>
      <c r="I58" s="1" t="s">
        <v>806</v>
      </c>
      <c r="J58" s="1">
        <v>11</v>
      </c>
      <c r="K58" s="4"/>
    </row>
    <row r="59" spans="8:11">
      <c r="H59" s="1" t="s">
        <v>163</v>
      </c>
      <c r="I59" s="1" t="s">
        <v>220</v>
      </c>
      <c r="J59" s="1">
        <v>11</v>
      </c>
      <c r="K59" s="4"/>
    </row>
    <row r="60" spans="8:11">
      <c r="H60" s="1" t="s">
        <v>177</v>
      </c>
      <c r="I60" s="1" t="s">
        <v>220</v>
      </c>
      <c r="J60" s="1">
        <v>10</v>
      </c>
      <c r="K60" s="4"/>
    </row>
    <row r="61" spans="8:11">
      <c r="H61" s="1" t="s">
        <v>188</v>
      </c>
      <c r="I61" s="1" t="s">
        <v>218</v>
      </c>
      <c r="J61" s="1">
        <v>8</v>
      </c>
      <c r="K61" s="4"/>
    </row>
    <row r="62" spans="8:11">
      <c r="H62" s="1" t="s">
        <v>162</v>
      </c>
      <c r="I62" s="1" t="s">
        <v>222</v>
      </c>
      <c r="J62" s="1">
        <v>7</v>
      </c>
      <c r="K62" s="4"/>
    </row>
    <row r="63" spans="8:11">
      <c r="H63" s="1" t="s">
        <v>178</v>
      </c>
      <c r="I63" s="1" t="s">
        <v>220</v>
      </c>
      <c r="J63" s="1">
        <v>6</v>
      </c>
      <c r="K63" s="4"/>
    </row>
    <row r="64" spans="8:11">
      <c r="H64" s="1" t="s">
        <v>131</v>
      </c>
      <c r="I64" s="1" t="s">
        <v>220</v>
      </c>
      <c r="J64" s="1">
        <v>5</v>
      </c>
      <c r="K64" s="4"/>
    </row>
    <row r="65" spans="8:11">
      <c r="H65" s="1" t="s">
        <v>168</v>
      </c>
      <c r="I65" s="1" t="s">
        <v>224</v>
      </c>
      <c r="J65" s="1">
        <v>4</v>
      </c>
      <c r="K65" s="4"/>
    </row>
    <row r="66" spans="8:11">
      <c r="H66" s="1" t="s">
        <v>180</v>
      </c>
      <c r="I66" s="1" t="s">
        <v>222</v>
      </c>
      <c r="J66" s="1">
        <v>3</v>
      </c>
      <c r="K66" s="4"/>
    </row>
    <row r="67" spans="8:11">
      <c r="H67" s="1" t="s">
        <v>176</v>
      </c>
      <c r="I67" s="1" t="s">
        <v>220</v>
      </c>
      <c r="J67" s="1">
        <v>2</v>
      </c>
      <c r="K67" s="4"/>
    </row>
    <row r="68" spans="8:11">
      <c r="H68" s="1" t="s">
        <v>189</v>
      </c>
      <c r="I68" s="1" t="s">
        <v>223</v>
      </c>
      <c r="J68" s="1">
        <v>2</v>
      </c>
      <c r="K68" s="4"/>
    </row>
    <row r="69" spans="8:11">
      <c r="H69" s="1" t="s">
        <v>157</v>
      </c>
      <c r="I69" s="1" t="s">
        <v>224</v>
      </c>
      <c r="J69" s="1">
        <v>1</v>
      </c>
      <c r="K69" s="4"/>
    </row>
    <row r="70" spans="8:11">
      <c r="H70" s="1"/>
      <c r="I70" s="1" t="s">
        <v>811</v>
      </c>
      <c r="J70" s="1">
        <v>1</v>
      </c>
      <c r="K70" s="4"/>
    </row>
  </sheetData>
  <mergeCells count="2">
    <mergeCell ref="A1:H1"/>
    <mergeCell ref="N3:O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56C1A-F05B-41C1-A93B-9258B6781169}">
  <dimension ref="A1:Q205"/>
  <sheetViews>
    <sheetView workbookViewId="0">
      <selection activeCell="Q10" sqref="Q10"/>
    </sheetView>
  </sheetViews>
  <sheetFormatPr defaultRowHeight="15"/>
  <cols>
    <col min="6" max="6" width="17.140625" customWidth="1"/>
    <col min="8" max="8" width="15.85546875" customWidth="1"/>
    <col min="9" max="9" width="17.5703125" customWidth="1"/>
    <col min="10" max="10" width="25.28515625" customWidth="1"/>
    <col min="11" max="11" width="20" customWidth="1"/>
    <col min="12" max="12" width="16.42578125" customWidth="1"/>
    <col min="13" max="13" width="8.85546875" customWidth="1"/>
    <col min="14" max="15" width="20.85546875" customWidth="1"/>
  </cols>
  <sheetData>
    <row r="1" spans="1:17">
      <c r="A1" s="32" t="s">
        <v>812</v>
      </c>
      <c r="B1" s="32"/>
      <c r="C1" s="32"/>
      <c r="D1" s="32"/>
      <c r="E1" s="32"/>
      <c r="F1" s="32"/>
      <c r="G1" s="32"/>
      <c r="H1" s="32"/>
    </row>
    <row r="3" spans="1:17">
      <c r="A3" s="3" t="s">
        <v>36</v>
      </c>
      <c r="B3" t="s">
        <v>57</v>
      </c>
      <c r="G3" s="3" t="s">
        <v>38</v>
      </c>
      <c r="H3" s="19" t="s">
        <v>770</v>
      </c>
      <c r="I3" s="19" t="s">
        <v>67</v>
      </c>
      <c r="J3" s="7" t="s">
        <v>813</v>
      </c>
      <c r="K3" s="20" t="s">
        <v>814</v>
      </c>
      <c r="L3" s="20" t="s">
        <v>815</v>
      </c>
      <c r="M3" s="8"/>
      <c r="N3" s="21" t="s">
        <v>770</v>
      </c>
      <c r="O3" s="15" t="s">
        <v>814</v>
      </c>
      <c r="P3" s="31" t="s">
        <v>42</v>
      </c>
      <c r="Q3" s="31"/>
    </row>
    <row r="4" spans="1:17">
      <c r="B4" t="s">
        <v>801</v>
      </c>
      <c r="H4" s="1" t="s">
        <v>781</v>
      </c>
      <c r="I4" s="1">
        <v>2856</v>
      </c>
      <c r="J4" s="1">
        <v>1696</v>
      </c>
      <c r="K4" s="6">
        <v>59.38</v>
      </c>
      <c r="L4" s="6">
        <v>25.44</v>
      </c>
      <c r="N4" s="1" t="s">
        <v>781</v>
      </c>
      <c r="O4" s="6">
        <v>59.38</v>
      </c>
    </row>
    <row r="5" spans="1:17">
      <c r="B5" t="s">
        <v>816</v>
      </c>
      <c r="H5" s="1" t="s">
        <v>817</v>
      </c>
      <c r="I5" s="1">
        <v>601</v>
      </c>
      <c r="J5" s="1">
        <v>318</v>
      </c>
      <c r="K5" s="1">
        <v>52.91</v>
      </c>
      <c r="L5" s="1">
        <v>26.19</v>
      </c>
      <c r="N5" s="1" t="s">
        <v>817</v>
      </c>
      <c r="O5" s="1">
        <v>52.91</v>
      </c>
    </row>
    <row r="6" spans="1:17">
      <c r="B6" t="s">
        <v>818</v>
      </c>
      <c r="H6" s="1" t="s">
        <v>819</v>
      </c>
      <c r="I6" s="1">
        <v>1360</v>
      </c>
      <c r="J6" s="1">
        <v>711</v>
      </c>
      <c r="K6" s="1">
        <v>52.28</v>
      </c>
      <c r="L6" s="1">
        <v>23.65</v>
      </c>
      <c r="N6" s="1" t="s">
        <v>819</v>
      </c>
      <c r="O6" s="1">
        <v>52.28</v>
      </c>
    </row>
    <row r="7" spans="1:17">
      <c r="B7" t="s">
        <v>820</v>
      </c>
      <c r="H7" s="1" t="s">
        <v>821</v>
      </c>
      <c r="I7" s="1">
        <v>51</v>
      </c>
      <c r="J7" s="1">
        <v>25</v>
      </c>
      <c r="K7" s="1">
        <v>49.02</v>
      </c>
      <c r="L7" s="1">
        <v>24.79</v>
      </c>
      <c r="N7" s="1" t="s">
        <v>821</v>
      </c>
      <c r="O7" s="1">
        <v>49.02</v>
      </c>
    </row>
    <row r="8" spans="1:17">
      <c r="B8" t="s">
        <v>822</v>
      </c>
      <c r="H8" s="1" t="s">
        <v>222</v>
      </c>
      <c r="I8" s="1">
        <v>9225</v>
      </c>
      <c r="J8" s="1">
        <v>3664</v>
      </c>
      <c r="K8" s="1">
        <v>39.72</v>
      </c>
      <c r="L8" s="1">
        <v>26.09</v>
      </c>
      <c r="N8" s="1" t="s">
        <v>222</v>
      </c>
      <c r="O8" s="1">
        <v>39.72</v>
      </c>
    </row>
    <row r="9" spans="1:17">
      <c r="B9" t="s">
        <v>823</v>
      </c>
      <c r="H9" s="1" t="s">
        <v>809</v>
      </c>
      <c r="I9" s="1">
        <v>2372</v>
      </c>
      <c r="J9" s="1">
        <v>864</v>
      </c>
      <c r="K9" s="1">
        <v>36.42</v>
      </c>
      <c r="L9" s="1">
        <v>25.41</v>
      </c>
      <c r="N9" s="1" t="s">
        <v>809</v>
      </c>
      <c r="O9" s="1">
        <v>36.42</v>
      </c>
    </row>
    <row r="10" spans="1:17">
      <c r="B10" t="s">
        <v>824</v>
      </c>
      <c r="H10" s="1" t="s">
        <v>825</v>
      </c>
      <c r="I10" s="1">
        <v>55</v>
      </c>
      <c r="J10" s="1">
        <v>18</v>
      </c>
      <c r="K10" s="1">
        <v>32.729999999999997</v>
      </c>
      <c r="L10" s="1">
        <v>26.85</v>
      </c>
      <c r="N10" s="1" t="s">
        <v>825</v>
      </c>
      <c r="O10" s="1">
        <v>32.729999999999997</v>
      </c>
    </row>
    <row r="11" spans="1:17">
      <c r="B11" t="s">
        <v>826</v>
      </c>
      <c r="H11" s="1" t="s">
        <v>786</v>
      </c>
      <c r="I11" s="1">
        <v>4763</v>
      </c>
      <c r="J11" s="1">
        <v>1558</v>
      </c>
      <c r="K11" s="1">
        <v>32.71</v>
      </c>
      <c r="L11" s="1">
        <v>26.77</v>
      </c>
      <c r="N11" s="1" t="s">
        <v>786</v>
      </c>
      <c r="O11" s="1">
        <v>32.71</v>
      </c>
    </row>
    <row r="12" spans="1:17">
      <c r="B12" t="s">
        <v>827</v>
      </c>
      <c r="H12" s="1" t="s">
        <v>828</v>
      </c>
      <c r="I12" s="1">
        <v>229</v>
      </c>
      <c r="J12" s="1">
        <v>74</v>
      </c>
      <c r="K12" s="1">
        <v>32.31</v>
      </c>
      <c r="L12" s="1">
        <v>26.1</v>
      </c>
      <c r="N12" s="1" t="s">
        <v>828</v>
      </c>
      <c r="O12" s="1">
        <v>32.31</v>
      </c>
    </row>
    <row r="13" spans="1:17">
      <c r="B13" t="s">
        <v>829</v>
      </c>
      <c r="H13" s="1" t="s">
        <v>790</v>
      </c>
      <c r="I13" s="1">
        <v>2216</v>
      </c>
      <c r="J13" s="1">
        <v>662</v>
      </c>
      <c r="K13" s="1">
        <v>29.87</v>
      </c>
      <c r="L13" s="1">
        <v>26.79</v>
      </c>
      <c r="N13" s="1" t="s">
        <v>790</v>
      </c>
      <c r="O13" s="1">
        <v>29.87</v>
      </c>
    </row>
    <row r="14" spans="1:17">
      <c r="B14" t="s">
        <v>830</v>
      </c>
      <c r="H14" s="1" t="s">
        <v>831</v>
      </c>
      <c r="I14" s="1">
        <v>1705</v>
      </c>
      <c r="J14" s="1">
        <v>501</v>
      </c>
      <c r="K14" s="1">
        <v>29.38</v>
      </c>
      <c r="L14" s="1">
        <v>24.92</v>
      </c>
      <c r="N14" s="1" t="s">
        <v>831</v>
      </c>
      <c r="O14" s="1">
        <v>29.38</v>
      </c>
    </row>
    <row r="15" spans="1:17">
      <c r="B15" t="s">
        <v>832</v>
      </c>
      <c r="H15" s="1" t="s">
        <v>833</v>
      </c>
      <c r="I15" s="1">
        <v>3781</v>
      </c>
      <c r="J15" s="1">
        <v>1108</v>
      </c>
      <c r="K15" s="1">
        <v>29.3</v>
      </c>
      <c r="L15" s="1">
        <v>26.82</v>
      </c>
      <c r="N15" s="1" t="s">
        <v>833</v>
      </c>
      <c r="O15" s="1">
        <v>29.3</v>
      </c>
    </row>
    <row r="16" spans="1:17">
      <c r="B16" t="s">
        <v>834</v>
      </c>
      <c r="H16" s="1" t="s">
        <v>835</v>
      </c>
      <c r="I16" s="1">
        <v>205</v>
      </c>
      <c r="J16" s="1">
        <v>58</v>
      </c>
      <c r="K16" s="1">
        <v>28.29</v>
      </c>
      <c r="L16" s="1">
        <v>26.52</v>
      </c>
      <c r="N16" s="1" t="s">
        <v>835</v>
      </c>
      <c r="O16" s="1">
        <v>28.29</v>
      </c>
    </row>
    <row r="17" spans="2:15">
      <c r="B17" t="s">
        <v>836</v>
      </c>
      <c r="H17" s="1" t="s">
        <v>837</v>
      </c>
      <c r="I17" s="1">
        <v>428</v>
      </c>
      <c r="J17" s="1">
        <v>121</v>
      </c>
      <c r="K17" s="1">
        <v>28.27</v>
      </c>
      <c r="L17" s="1">
        <v>25.08</v>
      </c>
      <c r="N17" s="1" t="s">
        <v>837</v>
      </c>
      <c r="O17" s="1">
        <v>28.27</v>
      </c>
    </row>
    <row r="18" spans="2:15">
      <c r="B18" t="s">
        <v>838</v>
      </c>
      <c r="H18" s="1" t="s">
        <v>839</v>
      </c>
      <c r="I18" s="1">
        <v>327</v>
      </c>
      <c r="J18" s="1">
        <v>88</v>
      </c>
      <c r="K18" s="1">
        <v>26.91</v>
      </c>
      <c r="L18" s="1">
        <v>25.15</v>
      </c>
      <c r="N18" s="1" t="s">
        <v>839</v>
      </c>
      <c r="O18" s="1">
        <v>26.91</v>
      </c>
    </row>
    <row r="19" spans="2:15">
      <c r="B19" t="s">
        <v>840</v>
      </c>
      <c r="H19" s="1" t="s">
        <v>789</v>
      </c>
      <c r="I19" s="1">
        <v>2671</v>
      </c>
      <c r="J19" s="1">
        <v>700</v>
      </c>
      <c r="K19" s="1">
        <v>26.21</v>
      </c>
      <c r="L19" s="1">
        <v>25.38</v>
      </c>
    </row>
    <row r="20" spans="2:15">
      <c r="B20" t="s">
        <v>208</v>
      </c>
      <c r="H20" s="1" t="s">
        <v>841</v>
      </c>
      <c r="I20" s="1">
        <v>1226</v>
      </c>
      <c r="J20" s="1">
        <v>320</v>
      </c>
      <c r="K20" s="1">
        <v>26.1</v>
      </c>
      <c r="L20" s="1">
        <v>25.13</v>
      </c>
    </row>
    <row r="21" spans="2:15">
      <c r="B21" t="s">
        <v>842</v>
      </c>
      <c r="H21" s="1" t="s">
        <v>843</v>
      </c>
      <c r="I21" s="1">
        <v>1915</v>
      </c>
      <c r="J21" s="1">
        <v>499</v>
      </c>
      <c r="K21" s="1">
        <v>26.06</v>
      </c>
      <c r="L21" s="1">
        <v>27.37</v>
      </c>
    </row>
    <row r="22" spans="2:15">
      <c r="B22" t="s">
        <v>844</v>
      </c>
      <c r="H22" s="1" t="s">
        <v>220</v>
      </c>
      <c r="I22" s="1">
        <v>5783</v>
      </c>
      <c r="J22" s="1">
        <v>1504</v>
      </c>
      <c r="K22" s="1">
        <v>26.01</v>
      </c>
      <c r="L22" s="1">
        <v>26.95</v>
      </c>
    </row>
    <row r="23" spans="2:15">
      <c r="B23" t="s">
        <v>845</v>
      </c>
      <c r="H23" s="1" t="s">
        <v>806</v>
      </c>
      <c r="I23" s="1">
        <v>2641</v>
      </c>
      <c r="J23" s="1">
        <v>666</v>
      </c>
      <c r="K23" s="1">
        <v>25.22</v>
      </c>
      <c r="L23" s="1">
        <v>23.04</v>
      </c>
    </row>
    <row r="24" spans="2:15">
      <c r="B24" t="s">
        <v>846</v>
      </c>
      <c r="H24" s="1" t="s">
        <v>847</v>
      </c>
      <c r="I24" s="1">
        <v>2346</v>
      </c>
      <c r="J24" s="1">
        <v>589</v>
      </c>
      <c r="K24" s="1">
        <v>25.11</v>
      </c>
      <c r="L24" s="1">
        <v>26.58</v>
      </c>
    </row>
    <row r="25" spans="2:15">
      <c r="B25" t="s">
        <v>848</v>
      </c>
      <c r="H25" s="1" t="s">
        <v>783</v>
      </c>
      <c r="I25" s="1">
        <v>2926</v>
      </c>
      <c r="J25" s="1">
        <v>726</v>
      </c>
      <c r="K25" s="1">
        <v>24.81</v>
      </c>
      <c r="L25" s="1">
        <v>26.72</v>
      </c>
    </row>
    <row r="26" spans="2:15">
      <c r="B26" t="s">
        <v>849</v>
      </c>
      <c r="H26" s="1" t="s">
        <v>850</v>
      </c>
      <c r="I26" s="1">
        <v>364</v>
      </c>
      <c r="J26" s="1">
        <v>89</v>
      </c>
      <c r="K26" s="1">
        <v>24.45</v>
      </c>
      <c r="L26" s="1">
        <v>24.59</v>
      </c>
    </row>
    <row r="27" spans="2:15">
      <c r="H27" s="1" t="s">
        <v>800</v>
      </c>
      <c r="I27" s="1">
        <v>1273</v>
      </c>
      <c r="J27" s="1">
        <v>298</v>
      </c>
      <c r="K27" s="1">
        <v>23.41</v>
      </c>
      <c r="L27" s="1">
        <v>24.47</v>
      </c>
    </row>
    <row r="28" spans="2:15">
      <c r="H28" s="1" t="s">
        <v>776</v>
      </c>
      <c r="I28" s="1">
        <v>4654</v>
      </c>
      <c r="J28" s="1">
        <v>1081</v>
      </c>
      <c r="K28" s="1">
        <v>23.23</v>
      </c>
      <c r="L28" s="1">
        <v>25.87</v>
      </c>
    </row>
    <row r="29" spans="2:15">
      <c r="H29" s="1" t="s">
        <v>218</v>
      </c>
      <c r="I29" s="1">
        <v>5198</v>
      </c>
      <c r="J29" s="1">
        <v>1203</v>
      </c>
      <c r="K29" s="1">
        <v>23.14</v>
      </c>
      <c r="L29" s="1">
        <v>26.78</v>
      </c>
    </row>
    <row r="30" spans="2:15">
      <c r="H30" s="1" t="s">
        <v>851</v>
      </c>
      <c r="I30" s="1">
        <v>3747</v>
      </c>
      <c r="J30" s="1">
        <v>864</v>
      </c>
      <c r="K30" s="1">
        <v>23.06</v>
      </c>
      <c r="L30" s="1">
        <v>24.96</v>
      </c>
    </row>
    <row r="31" spans="2:15">
      <c r="H31" s="1" t="s">
        <v>852</v>
      </c>
      <c r="I31" s="1">
        <v>1744</v>
      </c>
      <c r="J31" s="1">
        <v>400</v>
      </c>
      <c r="K31" s="1">
        <v>22.94</v>
      </c>
      <c r="L31" s="1">
        <v>24.21</v>
      </c>
    </row>
    <row r="32" spans="2:15">
      <c r="H32" s="1" t="s">
        <v>778</v>
      </c>
      <c r="I32" s="1">
        <v>4657</v>
      </c>
      <c r="J32" s="1">
        <v>1037</v>
      </c>
      <c r="K32" s="1">
        <v>22.27</v>
      </c>
      <c r="L32" s="1">
        <v>25.1</v>
      </c>
    </row>
    <row r="33" spans="8:12">
      <c r="H33" s="1" t="s">
        <v>853</v>
      </c>
      <c r="I33" s="1">
        <v>1932</v>
      </c>
      <c r="J33" s="1">
        <v>402</v>
      </c>
      <c r="K33" s="1">
        <v>20.81</v>
      </c>
      <c r="L33" s="1">
        <v>25.56</v>
      </c>
    </row>
    <row r="34" spans="8:12">
      <c r="H34" s="1" t="s">
        <v>808</v>
      </c>
      <c r="I34" s="1">
        <v>2348</v>
      </c>
      <c r="J34" s="1">
        <v>476</v>
      </c>
      <c r="K34" s="1">
        <v>20.27</v>
      </c>
      <c r="L34" s="1">
        <v>23.11</v>
      </c>
    </row>
    <row r="35" spans="8:12">
      <c r="H35" s="1" t="s">
        <v>854</v>
      </c>
      <c r="I35" s="1">
        <v>193</v>
      </c>
      <c r="J35" s="1">
        <v>39</v>
      </c>
      <c r="K35" s="1">
        <v>20.21</v>
      </c>
      <c r="L35" s="1">
        <v>25.1</v>
      </c>
    </row>
    <row r="36" spans="8:12">
      <c r="H36" s="1" t="s">
        <v>855</v>
      </c>
      <c r="I36" s="1">
        <v>1485</v>
      </c>
      <c r="J36" s="1">
        <v>282</v>
      </c>
      <c r="K36" s="1">
        <v>18.989999999999998</v>
      </c>
      <c r="L36" s="1">
        <v>24.22</v>
      </c>
    </row>
    <row r="37" spans="8:12">
      <c r="H37" s="1" t="s">
        <v>224</v>
      </c>
      <c r="I37" s="1">
        <v>2632</v>
      </c>
      <c r="J37" s="1">
        <v>480</v>
      </c>
      <c r="K37" s="1">
        <v>18.239999999999998</v>
      </c>
      <c r="L37" s="1">
        <v>26.73</v>
      </c>
    </row>
    <row r="38" spans="8:12">
      <c r="H38" s="1" t="s">
        <v>794</v>
      </c>
      <c r="I38" s="1">
        <v>2003</v>
      </c>
      <c r="J38" s="1">
        <v>360</v>
      </c>
      <c r="K38" s="1">
        <v>17.97</v>
      </c>
      <c r="L38" s="1">
        <v>25.62</v>
      </c>
    </row>
    <row r="39" spans="8:12">
      <c r="H39" s="1" t="s">
        <v>856</v>
      </c>
      <c r="I39" s="1">
        <v>311</v>
      </c>
      <c r="J39" s="1">
        <v>55</v>
      </c>
      <c r="K39" s="1">
        <v>17.68</v>
      </c>
      <c r="L39" s="1">
        <v>25.49</v>
      </c>
    </row>
    <row r="40" spans="8:12">
      <c r="H40" s="1" t="s">
        <v>857</v>
      </c>
      <c r="I40" s="1">
        <v>560</v>
      </c>
      <c r="J40" s="1">
        <v>98</v>
      </c>
      <c r="K40" s="1">
        <v>17.5</v>
      </c>
      <c r="L40" s="1">
        <v>23.97</v>
      </c>
    </row>
    <row r="41" spans="8:12">
      <c r="H41" s="1" t="s">
        <v>858</v>
      </c>
      <c r="I41" s="1">
        <v>167</v>
      </c>
      <c r="J41" s="1">
        <v>29</v>
      </c>
      <c r="K41" s="1">
        <v>17.37</v>
      </c>
      <c r="L41" s="1">
        <v>25.52</v>
      </c>
    </row>
    <row r="42" spans="8:12">
      <c r="H42" s="1" t="s">
        <v>859</v>
      </c>
      <c r="I42" s="1">
        <v>774</v>
      </c>
      <c r="J42" s="1">
        <v>132</v>
      </c>
      <c r="K42" s="1">
        <v>17.05</v>
      </c>
      <c r="L42" s="1">
        <v>25.56</v>
      </c>
    </row>
    <row r="43" spans="8:12">
      <c r="H43" s="1" t="s">
        <v>860</v>
      </c>
      <c r="I43" s="1">
        <v>1134</v>
      </c>
      <c r="J43" s="1">
        <v>192</v>
      </c>
      <c r="K43" s="1">
        <v>16.93</v>
      </c>
      <c r="L43" s="1">
        <v>25.09</v>
      </c>
    </row>
    <row r="44" spans="8:12">
      <c r="H44" s="1" t="s">
        <v>861</v>
      </c>
      <c r="I44" s="1">
        <v>491</v>
      </c>
      <c r="J44" s="1">
        <v>82</v>
      </c>
      <c r="K44" s="1">
        <v>16.7</v>
      </c>
      <c r="L44" s="1">
        <v>25.72</v>
      </c>
    </row>
    <row r="45" spans="8:12">
      <c r="H45" s="1" t="s">
        <v>862</v>
      </c>
      <c r="I45" s="1">
        <v>734</v>
      </c>
      <c r="J45" s="1">
        <v>121</v>
      </c>
      <c r="K45" s="1">
        <v>16.489999999999998</v>
      </c>
      <c r="L45" s="1">
        <v>25.73</v>
      </c>
    </row>
    <row r="46" spans="8:12">
      <c r="H46" s="1" t="s">
        <v>804</v>
      </c>
      <c r="I46" s="1">
        <v>3965</v>
      </c>
      <c r="J46" s="1">
        <v>649</v>
      </c>
      <c r="K46" s="1">
        <v>16.37</v>
      </c>
      <c r="L46" s="1">
        <v>24.48</v>
      </c>
    </row>
    <row r="47" spans="8:12">
      <c r="H47" s="1" t="s">
        <v>863</v>
      </c>
      <c r="I47" s="1">
        <v>104</v>
      </c>
      <c r="J47" s="1">
        <v>17</v>
      </c>
      <c r="K47" s="1">
        <v>16.350000000000001</v>
      </c>
      <c r="L47" s="1">
        <v>24</v>
      </c>
    </row>
    <row r="48" spans="8:12">
      <c r="H48" s="1" t="s">
        <v>864</v>
      </c>
      <c r="I48" s="1">
        <v>1654</v>
      </c>
      <c r="J48" s="1">
        <v>270</v>
      </c>
      <c r="K48" s="1">
        <v>16.32</v>
      </c>
      <c r="L48" s="1">
        <v>27.04</v>
      </c>
    </row>
    <row r="49" spans="8:12">
      <c r="H49" s="1" t="s">
        <v>223</v>
      </c>
      <c r="I49" s="1">
        <v>2599</v>
      </c>
      <c r="J49" s="1">
        <v>410</v>
      </c>
      <c r="K49" s="1">
        <v>15.78</v>
      </c>
      <c r="L49" s="1">
        <v>25.24</v>
      </c>
    </row>
    <row r="50" spans="8:12">
      <c r="H50" s="1" t="s">
        <v>865</v>
      </c>
      <c r="I50" s="1">
        <v>763</v>
      </c>
      <c r="J50" s="1">
        <v>120</v>
      </c>
      <c r="K50" s="1">
        <v>15.73</v>
      </c>
      <c r="L50" s="1">
        <v>25.79</v>
      </c>
    </row>
    <row r="51" spans="8:12">
      <c r="H51" s="1" t="s">
        <v>866</v>
      </c>
      <c r="I51" s="1">
        <v>162</v>
      </c>
      <c r="J51" s="1">
        <v>25</v>
      </c>
      <c r="K51" s="1">
        <v>15.43</v>
      </c>
      <c r="L51" s="1">
        <v>26.37</v>
      </c>
    </row>
    <row r="52" spans="8:12">
      <c r="H52" s="1" t="s">
        <v>867</v>
      </c>
      <c r="I52" s="1">
        <v>2957</v>
      </c>
      <c r="J52" s="1">
        <v>429</v>
      </c>
      <c r="K52" s="1">
        <v>14.51</v>
      </c>
      <c r="L52" s="1">
        <v>25.68</v>
      </c>
    </row>
    <row r="53" spans="8:12">
      <c r="H53" s="1" t="s">
        <v>798</v>
      </c>
      <c r="I53" s="1">
        <v>2235</v>
      </c>
      <c r="J53" s="1">
        <v>320</v>
      </c>
      <c r="K53" s="1">
        <v>14.32</v>
      </c>
      <c r="L53" s="1">
        <v>26.95</v>
      </c>
    </row>
    <row r="54" spans="8:12">
      <c r="H54" s="1" t="s">
        <v>868</v>
      </c>
      <c r="I54" s="1">
        <v>49</v>
      </c>
      <c r="J54" s="1">
        <v>7</v>
      </c>
      <c r="K54" s="1">
        <v>14.29</v>
      </c>
      <c r="L54" s="1">
        <v>28.15</v>
      </c>
    </row>
    <row r="55" spans="8:12">
      <c r="H55" s="1" t="s">
        <v>869</v>
      </c>
      <c r="I55" s="1">
        <v>404</v>
      </c>
      <c r="J55" s="1">
        <v>57</v>
      </c>
      <c r="K55" s="1">
        <v>14.11</v>
      </c>
      <c r="L55" s="1">
        <v>22.1</v>
      </c>
    </row>
    <row r="56" spans="8:12">
      <c r="H56" s="1" t="s">
        <v>870</v>
      </c>
      <c r="I56" s="1">
        <v>220</v>
      </c>
      <c r="J56" s="1">
        <v>31</v>
      </c>
      <c r="K56" s="1">
        <v>14.09</v>
      </c>
      <c r="L56" s="1">
        <v>24.35</v>
      </c>
    </row>
    <row r="57" spans="8:12">
      <c r="H57" s="1" t="s">
        <v>871</v>
      </c>
      <c r="I57" s="1">
        <v>1690</v>
      </c>
      <c r="J57" s="1">
        <v>232</v>
      </c>
      <c r="K57" s="1">
        <v>13.73</v>
      </c>
      <c r="L57" s="1">
        <v>25.9</v>
      </c>
    </row>
    <row r="58" spans="8:12">
      <c r="H58" s="1" t="s">
        <v>872</v>
      </c>
      <c r="I58" s="1">
        <v>262</v>
      </c>
      <c r="J58" s="1">
        <v>35</v>
      </c>
      <c r="K58" s="1">
        <v>13.36</v>
      </c>
      <c r="L58" s="1">
        <v>24.29</v>
      </c>
    </row>
    <row r="59" spans="8:12">
      <c r="H59" s="1" t="s">
        <v>873</v>
      </c>
      <c r="I59" s="1">
        <v>346</v>
      </c>
      <c r="J59" s="1">
        <v>46</v>
      </c>
      <c r="K59" s="1">
        <v>13.29</v>
      </c>
      <c r="L59" s="1">
        <v>25.19</v>
      </c>
    </row>
    <row r="60" spans="8:12">
      <c r="H60" s="1" t="s">
        <v>874</v>
      </c>
      <c r="I60" s="1">
        <v>76</v>
      </c>
      <c r="J60" s="1">
        <v>10</v>
      </c>
      <c r="K60" s="1">
        <v>13.16</v>
      </c>
      <c r="L60" s="1">
        <v>27.89</v>
      </c>
    </row>
    <row r="61" spans="8:12">
      <c r="H61" s="1" t="s">
        <v>875</v>
      </c>
      <c r="I61" s="1">
        <v>146</v>
      </c>
      <c r="J61" s="1">
        <v>19</v>
      </c>
      <c r="K61" s="1">
        <v>13.01</v>
      </c>
      <c r="L61" s="1">
        <v>24.89</v>
      </c>
    </row>
    <row r="62" spans="8:12">
      <c r="H62" s="1" t="s">
        <v>876</v>
      </c>
      <c r="I62" s="1">
        <v>1324</v>
      </c>
      <c r="J62" s="1">
        <v>169</v>
      </c>
      <c r="K62" s="1">
        <v>12.76</v>
      </c>
      <c r="L62" s="1">
        <v>25.68</v>
      </c>
    </row>
    <row r="63" spans="8:12">
      <c r="H63" s="1" t="s">
        <v>810</v>
      </c>
      <c r="I63" s="1">
        <v>914</v>
      </c>
      <c r="J63" s="1">
        <v>106</v>
      </c>
      <c r="K63" s="1">
        <v>11.6</v>
      </c>
      <c r="L63" s="1">
        <v>25.59</v>
      </c>
    </row>
    <row r="64" spans="8:12">
      <c r="H64" s="1" t="s">
        <v>877</v>
      </c>
      <c r="I64" s="1">
        <v>295</v>
      </c>
      <c r="J64" s="1">
        <v>34</v>
      </c>
      <c r="K64" s="1">
        <v>11.53</v>
      </c>
      <c r="L64" s="1">
        <v>24.53</v>
      </c>
    </row>
    <row r="65" spans="8:12">
      <c r="H65" s="1" t="s">
        <v>878</v>
      </c>
      <c r="I65" s="1">
        <v>166</v>
      </c>
      <c r="J65" s="1">
        <v>19</v>
      </c>
      <c r="K65" s="1">
        <v>11.45</v>
      </c>
      <c r="L65" s="1">
        <v>24.7</v>
      </c>
    </row>
    <row r="66" spans="8:12">
      <c r="H66" s="1" t="s">
        <v>879</v>
      </c>
      <c r="I66" s="1">
        <v>354</v>
      </c>
      <c r="J66" s="1">
        <v>40</v>
      </c>
      <c r="K66" s="1">
        <v>11.3</v>
      </c>
      <c r="L66" s="1">
        <v>25.54</v>
      </c>
    </row>
    <row r="67" spans="8:12">
      <c r="H67" s="1" t="s">
        <v>880</v>
      </c>
      <c r="I67" s="1">
        <v>487</v>
      </c>
      <c r="J67" s="1">
        <v>53</v>
      </c>
      <c r="K67" s="1">
        <v>10.88</v>
      </c>
      <c r="L67" s="1">
        <v>25.52</v>
      </c>
    </row>
    <row r="68" spans="8:12">
      <c r="H68" s="1" t="s">
        <v>881</v>
      </c>
      <c r="I68" s="1">
        <v>694</v>
      </c>
      <c r="J68" s="1">
        <v>73</v>
      </c>
      <c r="K68" s="1">
        <v>10.52</v>
      </c>
      <c r="L68" s="1">
        <v>25.4</v>
      </c>
    </row>
    <row r="69" spans="8:12">
      <c r="H69" s="1" t="s">
        <v>882</v>
      </c>
      <c r="I69" s="1">
        <v>125</v>
      </c>
      <c r="J69" s="1">
        <v>13</v>
      </c>
      <c r="K69" s="1">
        <v>10.4</v>
      </c>
      <c r="L69" s="1">
        <v>24.55</v>
      </c>
    </row>
    <row r="70" spans="8:12">
      <c r="H70" s="1" t="s">
        <v>883</v>
      </c>
      <c r="I70" s="1">
        <v>216</v>
      </c>
      <c r="J70" s="1">
        <v>22</v>
      </c>
      <c r="K70" s="1">
        <v>10.19</v>
      </c>
      <c r="L70" s="1">
        <v>24.41</v>
      </c>
    </row>
    <row r="71" spans="8:12">
      <c r="H71" s="1" t="s">
        <v>884</v>
      </c>
      <c r="I71" s="1">
        <v>240</v>
      </c>
      <c r="J71" s="1">
        <v>23</v>
      </c>
      <c r="K71" s="1">
        <v>9.58</v>
      </c>
      <c r="L71" s="1">
        <v>23.56</v>
      </c>
    </row>
    <row r="72" spans="8:12">
      <c r="H72" s="1" t="s">
        <v>885</v>
      </c>
      <c r="I72" s="1">
        <v>686</v>
      </c>
      <c r="J72" s="1">
        <v>64</v>
      </c>
      <c r="K72" s="1">
        <v>9.33</v>
      </c>
      <c r="L72" s="1">
        <v>24.74</v>
      </c>
    </row>
    <row r="73" spans="8:12">
      <c r="H73" s="1" t="s">
        <v>886</v>
      </c>
      <c r="I73" s="1">
        <v>45</v>
      </c>
      <c r="J73" s="1">
        <v>4</v>
      </c>
      <c r="K73" s="1">
        <v>8.89</v>
      </c>
      <c r="L73" s="1">
        <v>26.56</v>
      </c>
    </row>
    <row r="74" spans="8:12">
      <c r="H74" s="1" t="s">
        <v>887</v>
      </c>
      <c r="I74" s="1">
        <v>420</v>
      </c>
      <c r="J74" s="1">
        <v>37</v>
      </c>
      <c r="K74" s="1">
        <v>8.81</v>
      </c>
      <c r="L74" s="1">
        <v>25.2</v>
      </c>
    </row>
    <row r="75" spans="8:12">
      <c r="H75" s="1" t="s">
        <v>888</v>
      </c>
      <c r="I75" s="1">
        <v>290</v>
      </c>
      <c r="J75" s="1">
        <v>25</v>
      </c>
      <c r="K75" s="1">
        <v>8.6199999999999992</v>
      </c>
      <c r="L75" s="1">
        <v>24.91</v>
      </c>
    </row>
    <row r="76" spans="8:12">
      <c r="H76" s="1" t="s">
        <v>889</v>
      </c>
      <c r="I76" s="1">
        <v>1145</v>
      </c>
      <c r="J76" s="1">
        <v>94</v>
      </c>
      <c r="K76" s="1">
        <v>8.2100000000000009</v>
      </c>
      <c r="L76" s="1">
        <v>25.47</v>
      </c>
    </row>
    <row r="77" spans="8:12">
      <c r="H77" s="1" t="s">
        <v>890</v>
      </c>
      <c r="I77" s="1">
        <v>549</v>
      </c>
      <c r="J77" s="1">
        <v>45</v>
      </c>
      <c r="K77" s="1">
        <v>8.1999999999999993</v>
      </c>
      <c r="L77" s="1">
        <v>23.41</v>
      </c>
    </row>
    <row r="78" spans="8:12">
      <c r="H78" s="1" t="s">
        <v>891</v>
      </c>
      <c r="I78" s="1">
        <v>25</v>
      </c>
      <c r="J78" s="1">
        <v>2</v>
      </c>
      <c r="K78" s="1">
        <v>8</v>
      </c>
      <c r="L78" s="1">
        <v>24.44</v>
      </c>
    </row>
    <row r="79" spans="8:12">
      <c r="H79" s="1" t="s">
        <v>892</v>
      </c>
      <c r="I79" s="1">
        <v>193</v>
      </c>
      <c r="J79" s="1">
        <v>15</v>
      </c>
      <c r="K79" s="1">
        <v>7.77</v>
      </c>
      <c r="L79" s="1">
        <v>25.17</v>
      </c>
    </row>
    <row r="80" spans="8:12">
      <c r="H80" s="1" t="s">
        <v>893</v>
      </c>
      <c r="I80" s="1">
        <v>131</v>
      </c>
      <c r="J80" s="1">
        <v>10</v>
      </c>
      <c r="K80" s="1">
        <v>7.63</v>
      </c>
      <c r="L80" s="1">
        <v>25.73</v>
      </c>
    </row>
    <row r="81" spans="8:12">
      <c r="H81" s="1" t="s">
        <v>894</v>
      </c>
      <c r="I81" s="1">
        <v>1428</v>
      </c>
      <c r="J81" s="1">
        <v>99</v>
      </c>
      <c r="K81" s="1">
        <v>6.93</v>
      </c>
      <c r="L81" s="1">
        <v>24.54</v>
      </c>
    </row>
    <row r="82" spans="8:12">
      <c r="H82" s="1" t="s">
        <v>895</v>
      </c>
      <c r="I82" s="1">
        <v>428</v>
      </c>
      <c r="J82" s="1">
        <v>29</v>
      </c>
      <c r="K82" s="1">
        <v>6.78</v>
      </c>
      <c r="L82" s="1">
        <v>26.63</v>
      </c>
    </row>
    <row r="83" spans="8:12">
      <c r="H83" s="1" t="s">
        <v>896</v>
      </c>
      <c r="I83" s="1">
        <v>431</v>
      </c>
      <c r="J83" s="1">
        <v>29</v>
      </c>
      <c r="K83" s="1">
        <v>6.73</v>
      </c>
      <c r="L83" s="1">
        <v>25.06</v>
      </c>
    </row>
    <row r="84" spans="8:12">
      <c r="H84" s="1" t="s">
        <v>897</v>
      </c>
      <c r="I84" s="1">
        <v>457</v>
      </c>
      <c r="J84" s="1">
        <v>30</v>
      </c>
      <c r="K84" s="1">
        <v>6.56</v>
      </c>
      <c r="L84" s="1">
        <v>25.93</v>
      </c>
    </row>
    <row r="85" spans="8:12">
      <c r="H85" s="1" t="s">
        <v>898</v>
      </c>
      <c r="I85" s="1">
        <v>463</v>
      </c>
      <c r="J85" s="1">
        <v>28</v>
      </c>
      <c r="K85" s="1">
        <v>6.05</v>
      </c>
      <c r="L85" s="1">
        <v>25.84</v>
      </c>
    </row>
    <row r="86" spans="8:12">
      <c r="H86" s="1" t="s">
        <v>899</v>
      </c>
      <c r="I86" s="1">
        <v>297</v>
      </c>
      <c r="J86" s="1">
        <v>17</v>
      </c>
      <c r="K86" s="1">
        <v>5.72</v>
      </c>
      <c r="L86" s="1">
        <v>23.77</v>
      </c>
    </row>
    <row r="87" spans="8:12">
      <c r="H87" s="1" t="s">
        <v>900</v>
      </c>
      <c r="I87" s="1">
        <v>705</v>
      </c>
      <c r="J87" s="1">
        <v>37</v>
      </c>
      <c r="K87" s="1">
        <v>5.25</v>
      </c>
      <c r="L87" s="1">
        <v>27.03</v>
      </c>
    </row>
    <row r="88" spans="8:12">
      <c r="H88" s="1" t="s">
        <v>901</v>
      </c>
      <c r="I88" s="1">
        <v>374</v>
      </c>
      <c r="J88" s="1">
        <v>19</v>
      </c>
      <c r="K88" s="1">
        <v>5.08</v>
      </c>
      <c r="L88" s="1">
        <v>25.59</v>
      </c>
    </row>
    <row r="89" spans="8:12">
      <c r="H89" s="1" t="s">
        <v>902</v>
      </c>
      <c r="I89" s="1">
        <v>299</v>
      </c>
      <c r="J89" s="1">
        <v>14</v>
      </c>
      <c r="K89" s="1">
        <v>4.68</v>
      </c>
      <c r="L89" s="1">
        <v>23.6</v>
      </c>
    </row>
    <row r="90" spans="8:12">
      <c r="H90" s="1" t="s">
        <v>903</v>
      </c>
      <c r="I90" s="1">
        <v>326</v>
      </c>
      <c r="J90" s="1">
        <v>15</v>
      </c>
      <c r="K90" s="1">
        <v>4.5999999999999996</v>
      </c>
      <c r="L90" s="1">
        <v>24.53</v>
      </c>
    </row>
    <row r="91" spans="8:12">
      <c r="H91" s="1" t="s">
        <v>904</v>
      </c>
      <c r="I91" s="1">
        <v>44</v>
      </c>
      <c r="J91" s="1">
        <v>2</v>
      </c>
      <c r="K91" s="1">
        <v>4.55</v>
      </c>
      <c r="L91" s="1">
        <v>25.82</v>
      </c>
    </row>
    <row r="92" spans="8:12">
      <c r="H92" s="1" t="s">
        <v>905</v>
      </c>
      <c r="I92" s="1">
        <v>709</v>
      </c>
      <c r="J92" s="1">
        <v>32</v>
      </c>
      <c r="K92" s="1">
        <v>4.51</v>
      </c>
      <c r="L92" s="1">
        <v>27.67</v>
      </c>
    </row>
    <row r="93" spans="8:12">
      <c r="H93" s="1" t="s">
        <v>906</v>
      </c>
      <c r="I93" s="1">
        <v>133</v>
      </c>
      <c r="J93" s="1">
        <v>6</v>
      </c>
      <c r="K93" s="1">
        <v>4.51</v>
      </c>
      <c r="L93" s="1">
        <v>24.5</v>
      </c>
    </row>
    <row r="94" spans="8:12">
      <c r="H94" s="1" t="s">
        <v>907</v>
      </c>
      <c r="I94" s="1">
        <v>45</v>
      </c>
      <c r="J94" s="1">
        <v>2</v>
      </c>
      <c r="K94" s="1">
        <v>4.4400000000000004</v>
      </c>
      <c r="L94" s="1">
        <v>26.14</v>
      </c>
    </row>
    <row r="95" spans="8:12">
      <c r="H95" s="1" t="s">
        <v>908</v>
      </c>
      <c r="I95" s="1">
        <v>47</v>
      </c>
      <c r="J95" s="1">
        <v>2</v>
      </c>
      <c r="K95" s="1">
        <v>4.26</v>
      </c>
      <c r="L95" s="1">
        <v>22.13</v>
      </c>
    </row>
    <row r="96" spans="8:12">
      <c r="H96" s="1" t="s">
        <v>909</v>
      </c>
      <c r="I96" s="1">
        <v>129</v>
      </c>
      <c r="J96" s="1">
        <v>5</v>
      </c>
      <c r="K96" s="1">
        <v>3.88</v>
      </c>
      <c r="L96" s="1">
        <v>24.3</v>
      </c>
    </row>
    <row r="97" spans="8:12">
      <c r="H97" s="1" t="s">
        <v>910</v>
      </c>
      <c r="I97" s="1">
        <v>26</v>
      </c>
      <c r="J97" s="1">
        <v>1</v>
      </c>
      <c r="K97" s="1">
        <v>3.85</v>
      </c>
      <c r="L97" s="1">
        <v>24.5</v>
      </c>
    </row>
    <row r="98" spans="8:12">
      <c r="H98" s="1" t="s">
        <v>911</v>
      </c>
      <c r="I98" s="1">
        <v>26</v>
      </c>
      <c r="J98" s="1">
        <v>1</v>
      </c>
      <c r="K98" s="1">
        <v>3.85</v>
      </c>
      <c r="L98" s="1">
        <v>24.67</v>
      </c>
    </row>
    <row r="99" spans="8:12">
      <c r="H99" s="1" t="s">
        <v>912</v>
      </c>
      <c r="I99" s="1">
        <v>130</v>
      </c>
      <c r="J99" s="1">
        <v>5</v>
      </c>
      <c r="K99" s="1">
        <v>3.85</v>
      </c>
      <c r="L99" s="1">
        <v>23.28</v>
      </c>
    </row>
    <row r="100" spans="8:12">
      <c r="H100" s="1" t="s">
        <v>913</v>
      </c>
      <c r="I100" s="1">
        <v>368</v>
      </c>
      <c r="J100" s="1">
        <v>14</v>
      </c>
      <c r="K100" s="1">
        <v>3.8</v>
      </c>
      <c r="L100" s="1">
        <v>24.36</v>
      </c>
    </row>
    <row r="101" spans="8:12">
      <c r="H101" s="1" t="s">
        <v>914</v>
      </c>
      <c r="I101" s="1">
        <v>587</v>
      </c>
      <c r="J101" s="1">
        <v>22</v>
      </c>
      <c r="K101" s="1">
        <v>3.75</v>
      </c>
      <c r="L101" s="1">
        <v>25.02</v>
      </c>
    </row>
    <row r="102" spans="8:12">
      <c r="H102" s="1" t="s">
        <v>915</v>
      </c>
      <c r="I102" s="1">
        <v>81</v>
      </c>
      <c r="J102" s="1">
        <v>3</v>
      </c>
      <c r="K102" s="1">
        <v>3.7</v>
      </c>
      <c r="L102" s="1">
        <v>23.96</v>
      </c>
    </row>
    <row r="103" spans="8:12">
      <c r="H103" s="1" t="s">
        <v>916</v>
      </c>
      <c r="I103" s="1">
        <v>28</v>
      </c>
      <c r="J103" s="1">
        <v>1</v>
      </c>
      <c r="K103" s="1">
        <v>3.57</v>
      </c>
      <c r="L103" s="1">
        <v>21.89</v>
      </c>
    </row>
    <row r="104" spans="8:12">
      <c r="H104" s="1" t="s">
        <v>917</v>
      </c>
      <c r="I104" s="1">
        <v>174</v>
      </c>
      <c r="J104" s="1">
        <v>6</v>
      </c>
      <c r="K104" s="1">
        <v>3.45</v>
      </c>
      <c r="L104" s="1">
        <v>23.79</v>
      </c>
    </row>
    <row r="105" spans="8:12">
      <c r="H105" s="1" t="s">
        <v>918</v>
      </c>
      <c r="I105" s="1">
        <v>60</v>
      </c>
      <c r="J105" s="1">
        <v>2</v>
      </c>
      <c r="K105" s="1">
        <v>3.33</v>
      </c>
      <c r="L105" s="1">
        <v>23.61</v>
      </c>
    </row>
    <row r="106" spans="8:12">
      <c r="H106" s="1" t="s">
        <v>919</v>
      </c>
      <c r="I106" s="1">
        <v>31</v>
      </c>
      <c r="J106" s="1">
        <v>1</v>
      </c>
      <c r="K106" s="1">
        <v>3.23</v>
      </c>
      <c r="L106" s="1">
        <v>21.67</v>
      </c>
    </row>
    <row r="107" spans="8:12">
      <c r="H107" s="1" t="s">
        <v>920</v>
      </c>
      <c r="I107" s="1">
        <v>128</v>
      </c>
      <c r="J107" s="1">
        <v>4</v>
      </c>
      <c r="K107" s="1">
        <v>3.13</v>
      </c>
      <c r="L107" s="1">
        <v>23.44</v>
      </c>
    </row>
    <row r="108" spans="8:12">
      <c r="H108" s="1" t="s">
        <v>921</v>
      </c>
      <c r="I108" s="1">
        <v>160</v>
      </c>
      <c r="J108" s="1">
        <v>5</v>
      </c>
      <c r="K108" s="1">
        <v>3.13</v>
      </c>
      <c r="L108" s="1">
        <v>23.43</v>
      </c>
    </row>
    <row r="109" spans="8:12">
      <c r="H109" s="1" t="s">
        <v>922</v>
      </c>
      <c r="I109" s="1">
        <v>197</v>
      </c>
      <c r="J109" s="1">
        <v>6</v>
      </c>
      <c r="K109" s="1">
        <v>3.05</v>
      </c>
      <c r="L109" s="1">
        <v>24.43</v>
      </c>
    </row>
    <row r="110" spans="8:12">
      <c r="H110" s="1" t="s">
        <v>923</v>
      </c>
      <c r="I110" s="1">
        <v>104</v>
      </c>
      <c r="J110" s="1">
        <v>3</v>
      </c>
      <c r="K110" s="1">
        <v>2.88</v>
      </c>
      <c r="L110" s="1">
        <v>24.16</v>
      </c>
    </row>
    <row r="111" spans="8:12">
      <c r="H111" s="1" t="s">
        <v>924</v>
      </c>
      <c r="I111" s="1">
        <v>140</v>
      </c>
      <c r="J111" s="1">
        <v>4</v>
      </c>
      <c r="K111" s="1">
        <v>2.86</v>
      </c>
      <c r="L111" s="1">
        <v>24.42</v>
      </c>
    </row>
    <row r="112" spans="8:12">
      <c r="H112" s="1" t="s">
        <v>925</v>
      </c>
      <c r="I112" s="1">
        <v>36</v>
      </c>
      <c r="J112" s="1">
        <v>1</v>
      </c>
      <c r="K112" s="1">
        <v>2.78</v>
      </c>
      <c r="L112" s="1">
        <v>25.09</v>
      </c>
    </row>
    <row r="113" spans="8:12">
      <c r="H113" s="1" t="s">
        <v>926</v>
      </c>
      <c r="I113" s="1">
        <v>543</v>
      </c>
      <c r="J113" s="1">
        <v>15</v>
      </c>
      <c r="K113" s="1">
        <v>2.76</v>
      </c>
      <c r="L113" s="1">
        <v>24.73</v>
      </c>
    </row>
    <row r="114" spans="8:12">
      <c r="H114" s="1" t="s">
        <v>927</v>
      </c>
      <c r="I114" s="1">
        <v>111</v>
      </c>
      <c r="J114" s="1">
        <v>3</v>
      </c>
      <c r="K114" s="1">
        <v>2.7</v>
      </c>
      <c r="L114" s="1">
        <v>24.32</v>
      </c>
    </row>
    <row r="115" spans="8:12">
      <c r="H115" s="1" t="s">
        <v>928</v>
      </c>
      <c r="I115" s="1">
        <v>342</v>
      </c>
      <c r="J115" s="1">
        <v>9</v>
      </c>
      <c r="K115" s="1">
        <v>2.63</v>
      </c>
      <c r="L115" s="1">
        <v>24.79</v>
      </c>
    </row>
    <row r="116" spans="8:12">
      <c r="H116" s="1" t="s">
        <v>929</v>
      </c>
      <c r="I116" s="1">
        <v>38</v>
      </c>
      <c r="J116" s="1">
        <v>1</v>
      </c>
      <c r="K116" s="1">
        <v>2.63</v>
      </c>
      <c r="L116" s="1">
        <v>24.33</v>
      </c>
    </row>
    <row r="117" spans="8:12">
      <c r="H117" s="1" t="s">
        <v>930</v>
      </c>
      <c r="I117" s="1">
        <v>40</v>
      </c>
      <c r="J117" s="1">
        <v>1</v>
      </c>
      <c r="K117" s="1">
        <v>2.5</v>
      </c>
      <c r="L117" s="1">
        <v>22.84</v>
      </c>
    </row>
    <row r="118" spans="8:12">
      <c r="H118" s="1" t="s">
        <v>931</v>
      </c>
      <c r="I118" s="1">
        <v>40</v>
      </c>
      <c r="J118" s="1">
        <v>1</v>
      </c>
      <c r="K118" s="1">
        <v>2.5</v>
      </c>
      <c r="L118" s="1">
        <v>27.86</v>
      </c>
    </row>
    <row r="119" spans="8:12">
      <c r="H119" s="1" t="s">
        <v>932</v>
      </c>
      <c r="I119" s="1">
        <v>40</v>
      </c>
      <c r="J119" s="1">
        <v>1</v>
      </c>
      <c r="K119" s="1">
        <v>2.5</v>
      </c>
      <c r="L119" s="1">
        <v>23.33</v>
      </c>
    </row>
    <row r="120" spans="8:12">
      <c r="H120" s="1" t="s">
        <v>933</v>
      </c>
      <c r="I120" s="1">
        <v>891</v>
      </c>
      <c r="J120" s="1">
        <v>22</v>
      </c>
      <c r="K120" s="1">
        <v>2.4700000000000002</v>
      </c>
      <c r="L120" s="1">
        <v>24.79</v>
      </c>
    </row>
    <row r="121" spans="8:12">
      <c r="H121" s="1" t="s">
        <v>934</v>
      </c>
      <c r="I121" s="1">
        <v>41</v>
      </c>
      <c r="J121" s="1">
        <v>1</v>
      </c>
      <c r="K121" s="1">
        <v>2.44</v>
      </c>
      <c r="L121" s="1">
        <v>24.12</v>
      </c>
    </row>
    <row r="122" spans="8:12">
      <c r="H122" s="1" t="s">
        <v>935</v>
      </c>
      <c r="I122" s="1">
        <v>83</v>
      </c>
      <c r="J122" s="1">
        <v>2</v>
      </c>
      <c r="K122" s="1">
        <v>2.41</v>
      </c>
      <c r="L122" s="1">
        <v>24.1</v>
      </c>
    </row>
    <row r="123" spans="8:12">
      <c r="H123" s="1" t="s">
        <v>936</v>
      </c>
      <c r="I123" s="1">
        <v>43</v>
      </c>
      <c r="J123" s="1">
        <v>1</v>
      </c>
      <c r="K123" s="1">
        <v>2.33</v>
      </c>
      <c r="L123" s="1">
        <v>23.24</v>
      </c>
    </row>
    <row r="124" spans="8:12">
      <c r="H124" s="1" t="s">
        <v>937</v>
      </c>
      <c r="I124" s="1">
        <v>130</v>
      </c>
      <c r="J124" s="1">
        <v>3</v>
      </c>
      <c r="K124" s="1">
        <v>2.31</v>
      </c>
      <c r="L124" s="1">
        <v>24.7</v>
      </c>
    </row>
    <row r="125" spans="8:12">
      <c r="H125" s="1" t="s">
        <v>938</v>
      </c>
      <c r="I125" s="1">
        <v>349</v>
      </c>
      <c r="J125" s="1">
        <v>8</v>
      </c>
      <c r="K125" s="1">
        <v>2.29</v>
      </c>
      <c r="L125" s="1">
        <v>24.2</v>
      </c>
    </row>
    <row r="126" spans="8:12">
      <c r="H126" s="1" t="s">
        <v>939</v>
      </c>
      <c r="I126" s="1">
        <v>88</v>
      </c>
      <c r="J126" s="1">
        <v>2</v>
      </c>
      <c r="K126" s="1">
        <v>2.27</v>
      </c>
      <c r="L126" s="1">
        <v>25.78</v>
      </c>
    </row>
    <row r="127" spans="8:12">
      <c r="H127" s="1" t="s">
        <v>940</v>
      </c>
      <c r="I127" s="1">
        <v>45</v>
      </c>
      <c r="J127" s="1">
        <v>1</v>
      </c>
      <c r="K127" s="1">
        <v>2.2200000000000002</v>
      </c>
      <c r="L127" s="1">
        <v>24.24</v>
      </c>
    </row>
    <row r="128" spans="8:12">
      <c r="H128" s="1" t="s">
        <v>941</v>
      </c>
      <c r="I128" s="1">
        <v>48</v>
      </c>
      <c r="J128" s="1">
        <v>1</v>
      </c>
      <c r="K128" s="1">
        <v>2.08</v>
      </c>
      <c r="L128" s="1">
        <v>24.27</v>
      </c>
    </row>
    <row r="129" spans="8:12">
      <c r="H129" s="1" t="s">
        <v>942</v>
      </c>
      <c r="I129" s="1">
        <v>99</v>
      </c>
      <c r="J129" s="1">
        <v>2</v>
      </c>
      <c r="K129" s="1">
        <v>2.02</v>
      </c>
      <c r="L129" s="1">
        <v>24.91</v>
      </c>
    </row>
    <row r="130" spans="8:12">
      <c r="H130" s="1" t="s">
        <v>943</v>
      </c>
      <c r="I130" s="1">
        <v>415</v>
      </c>
      <c r="J130" s="1">
        <v>8</v>
      </c>
      <c r="K130" s="1">
        <v>1.93</v>
      </c>
      <c r="L130" s="1">
        <v>24.44</v>
      </c>
    </row>
    <row r="131" spans="8:12">
      <c r="H131" s="1" t="s">
        <v>944</v>
      </c>
      <c r="I131" s="1">
        <v>54</v>
      </c>
      <c r="J131" s="1">
        <v>1</v>
      </c>
      <c r="K131" s="1">
        <v>1.85</v>
      </c>
      <c r="L131" s="1">
        <v>27.12</v>
      </c>
    </row>
    <row r="132" spans="8:12">
      <c r="H132" s="1" t="s">
        <v>945</v>
      </c>
      <c r="I132" s="1">
        <v>60</v>
      </c>
      <c r="J132" s="1">
        <v>1</v>
      </c>
      <c r="K132" s="1">
        <v>1.67</v>
      </c>
      <c r="L132" s="1">
        <v>24.4</v>
      </c>
    </row>
    <row r="133" spans="8:12">
      <c r="H133" s="1" t="s">
        <v>946</v>
      </c>
      <c r="I133" s="1">
        <v>61</v>
      </c>
      <c r="J133" s="1">
        <v>1</v>
      </c>
      <c r="K133" s="1">
        <v>1.64</v>
      </c>
      <c r="L133" s="1">
        <v>24.87</v>
      </c>
    </row>
    <row r="134" spans="8:12">
      <c r="H134" s="1" t="s">
        <v>947</v>
      </c>
      <c r="I134" s="1">
        <v>371</v>
      </c>
      <c r="J134" s="1">
        <v>6</v>
      </c>
      <c r="K134" s="1">
        <v>1.62</v>
      </c>
      <c r="L134" s="1">
        <v>26.46</v>
      </c>
    </row>
    <row r="135" spans="8:12">
      <c r="H135" s="1" t="s">
        <v>948</v>
      </c>
      <c r="I135" s="1">
        <v>62</v>
      </c>
      <c r="J135" s="1">
        <v>1</v>
      </c>
      <c r="K135" s="1">
        <v>1.61</v>
      </c>
      <c r="L135" s="1">
        <v>23.54</v>
      </c>
    </row>
    <row r="136" spans="8:12">
      <c r="H136" s="1" t="s">
        <v>949</v>
      </c>
      <c r="I136" s="1">
        <v>558</v>
      </c>
      <c r="J136" s="1">
        <v>9</v>
      </c>
      <c r="K136" s="1">
        <v>1.61</v>
      </c>
      <c r="L136" s="1">
        <v>24.69</v>
      </c>
    </row>
    <row r="137" spans="8:12">
      <c r="H137" s="1" t="s">
        <v>950</v>
      </c>
      <c r="I137" s="1">
        <v>66</v>
      </c>
      <c r="J137" s="1">
        <v>1</v>
      </c>
      <c r="K137" s="1">
        <v>1.52</v>
      </c>
      <c r="L137" s="1">
        <v>25.08</v>
      </c>
    </row>
    <row r="138" spans="8:12">
      <c r="H138" s="1" t="s">
        <v>951</v>
      </c>
      <c r="I138" s="1">
        <v>69</v>
      </c>
      <c r="J138" s="1">
        <v>1</v>
      </c>
      <c r="K138" s="1">
        <v>1.45</v>
      </c>
      <c r="L138" s="1">
        <v>23.64</v>
      </c>
    </row>
    <row r="139" spans="8:12">
      <c r="H139" s="1" t="s">
        <v>952</v>
      </c>
      <c r="I139" s="1">
        <v>154</v>
      </c>
      <c r="J139" s="1">
        <v>2</v>
      </c>
      <c r="K139" s="1">
        <v>1.3</v>
      </c>
      <c r="L139" s="1">
        <v>25.67</v>
      </c>
    </row>
    <row r="140" spans="8:12">
      <c r="H140" s="1" t="s">
        <v>953</v>
      </c>
      <c r="I140" s="1">
        <v>79</v>
      </c>
      <c r="J140" s="1">
        <v>1</v>
      </c>
      <c r="K140" s="1">
        <v>1.27</v>
      </c>
      <c r="L140" s="1">
        <v>30.05</v>
      </c>
    </row>
    <row r="141" spans="8:12">
      <c r="H141" s="1" t="s">
        <v>954</v>
      </c>
      <c r="I141" s="1">
        <v>319</v>
      </c>
      <c r="J141" s="1">
        <v>4</v>
      </c>
      <c r="K141" s="1">
        <v>1.25</v>
      </c>
      <c r="L141" s="1">
        <v>24.5</v>
      </c>
    </row>
    <row r="142" spans="8:12">
      <c r="H142" s="1" t="s">
        <v>955</v>
      </c>
      <c r="I142" s="1">
        <v>163</v>
      </c>
      <c r="J142" s="1">
        <v>2</v>
      </c>
      <c r="K142" s="1">
        <v>1.23</v>
      </c>
      <c r="L142" s="1">
        <v>22.95</v>
      </c>
    </row>
    <row r="143" spans="8:12">
      <c r="H143" s="1" t="s">
        <v>956</v>
      </c>
      <c r="I143" s="1">
        <v>88</v>
      </c>
      <c r="J143" s="1">
        <v>1</v>
      </c>
      <c r="K143" s="1">
        <v>1.1399999999999999</v>
      </c>
      <c r="L143" s="1">
        <v>23.33</v>
      </c>
    </row>
    <row r="144" spans="8:12">
      <c r="H144" s="1" t="s">
        <v>957</v>
      </c>
      <c r="I144" s="1">
        <v>113</v>
      </c>
      <c r="J144" s="1">
        <v>1</v>
      </c>
      <c r="K144" s="1">
        <v>0.88</v>
      </c>
      <c r="L144" s="1">
        <v>23.77</v>
      </c>
    </row>
    <row r="145" spans="8:12">
      <c r="H145" s="1" t="s">
        <v>958</v>
      </c>
      <c r="I145" s="1">
        <v>116</v>
      </c>
      <c r="J145" s="1">
        <v>1</v>
      </c>
      <c r="K145" s="1">
        <v>0.86</v>
      </c>
      <c r="L145" s="1">
        <v>26.48</v>
      </c>
    </row>
    <row r="146" spans="8:12">
      <c r="H146" s="1" t="s">
        <v>959</v>
      </c>
      <c r="I146" s="1">
        <v>116</v>
      </c>
      <c r="J146" s="1">
        <v>1</v>
      </c>
      <c r="K146" s="1">
        <v>0.86</v>
      </c>
      <c r="L146" s="1">
        <v>23.46</v>
      </c>
    </row>
    <row r="147" spans="8:12">
      <c r="H147" s="1" t="s">
        <v>960</v>
      </c>
      <c r="I147" s="1">
        <v>120</v>
      </c>
      <c r="J147" s="1">
        <v>1</v>
      </c>
      <c r="K147" s="1">
        <v>0.83</v>
      </c>
      <c r="L147" s="1">
        <v>24.08</v>
      </c>
    </row>
    <row r="148" spans="8:12">
      <c r="H148" s="1" t="s">
        <v>961</v>
      </c>
      <c r="I148" s="1">
        <v>145</v>
      </c>
      <c r="J148" s="1">
        <v>1</v>
      </c>
      <c r="K148" s="1">
        <v>0.69</v>
      </c>
      <c r="L148" s="1">
        <v>27.32</v>
      </c>
    </row>
    <row r="149" spans="8:12">
      <c r="H149" s="1" t="s">
        <v>962</v>
      </c>
      <c r="I149" s="1">
        <v>153</v>
      </c>
      <c r="J149" s="1">
        <v>1</v>
      </c>
      <c r="K149" s="1">
        <v>0.65</v>
      </c>
      <c r="L149" s="1">
        <v>25.05</v>
      </c>
    </row>
    <row r="150" spans="8:12">
      <c r="H150" s="1" t="s">
        <v>963</v>
      </c>
      <c r="I150" s="1">
        <v>222</v>
      </c>
      <c r="J150" s="1">
        <v>1</v>
      </c>
      <c r="K150" s="1">
        <v>0.45</v>
      </c>
      <c r="L150" s="1">
        <v>25.86</v>
      </c>
    </row>
    <row r="151" spans="8:12">
      <c r="H151" s="1" t="s">
        <v>964</v>
      </c>
      <c r="I151" s="1">
        <v>238</v>
      </c>
      <c r="J151" s="1">
        <v>1</v>
      </c>
      <c r="K151" s="1">
        <v>0.42</v>
      </c>
      <c r="L151" s="1">
        <v>24.03</v>
      </c>
    </row>
    <row r="152" spans="8:12">
      <c r="H152" s="1" t="s">
        <v>965</v>
      </c>
      <c r="I152" s="1">
        <v>29</v>
      </c>
      <c r="J152" s="1">
        <v>0</v>
      </c>
      <c r="K152" s="1">
        <v>0</v>
      </c>
      <c r="L152" s="1">
        <v>27.22</v>
      </c>
    </row>
    <row r="153" spans="8:12">
      <c r="H153" s="1" t="s">
        <v>966</v>
      </c>
      <c r="I153" s="1">
        <v>61</v>
      </c>
      <c r="J153" s="1">
        <v>0</v>
      </c>
      <c r="K153" s="1">
        <v>0</v>
      </c>
      <c r="L153" s="1">
        <v>23.07</v>
      </c>
    </row>
    <row r="154" spans="8:12">
      <c r="H154" s="1" t="s">
        <v>967</v>
      </c>
      <c r="I154" s="1">
        <v>163</v>
      </c>
      <c r="J154" s="1">
        <v>0</v>
      </c>
      <c r="K154" s="1">
        <v>0</v>
      </c>
      <c r="L154" s="1">
        <v>24.91</v>
      </c>
    </row>
    <row r="155" spans="8:12">
      <c r="H155" s="1" t="s">
        <v>968</v>
      </c>
      <c r="I155" s="1">
        <v>69</v>
      </c>
      <c r="J155" s="1">
        <v>0</v>
      </c>
      <c r="K155" s="1">
        <v>0</v>
      </c>
      <c r="L155" s="1">
        <v>23.23</v>
      </c>
    </row>
    <row r="156" spans="8:12">
      <c r="H156" s="1" t="s">
        <v>969</v>
      </c>
      <c r="I156" s="1">
        <v>32</v>
      </c>
      <c r="J156" s="1">
        <v>0</v>
      </c>
      <c r="K156" s="1">
        <v>0</v>
      </c>
      <c r="L156" s="1">
        <v>24.73</v>
      </c>
    </row>
    <row r="157" spans="8:12">
      <c r="H157" s="1" t="s">
        <v>970</v>
      </c>
      <c r="I157" s="1">
        <v>38</v>
      </c>
      <c r="J157" s="1">
        <v>0</v>
      </c>
      <c r="K157" s="1">
        <v>0</v>
      </c>
      <c r="L157" s="1">
        <v>22.64</v>
      </c>
    </row>
    <row r="158" spans="8:12">
      <c r="H158" s="1" t="s">
        <v>971</v>
      </c>
      <c r="I158" s="1">
        <v>51</v>
      </c>
      <c r="J158" s="1">
        <v>0</v>
      </c>
      <c r="K158" s="1">
        <v>0</v>
      </c>
      <c r="L158" s="1">
        <v>25.99</v>
      </c>
    </row>
    <row r="159" spans="8:12">
      <c r="H159" s="1" t="s">
        <v>972</v>
      </c>
      <c r="I159" s="1">
        <v>43</v>
      </c>
      <c r="J159" s="1">
        <v>0</v>
      </c>
      <c r="K159" s="1">
        <v>0</v>
      </c>
      <c r="L159" s="1">
        <v>25.24</v>
      </c>
    </row>
    <row r="160" spans="8:12">
      <c r="H160" s="1" t="s">
        <v>973</v>
      </c>
      <c r="I160" s="1">
        <v>21</v>
      </c>
      <c r="J160" s="1">
        <v>0</v>
      </c>
      <c r="K160" s="1">
        <v>0</v>
      </c>
      <c r="L160" s="1">
        <v>25.97</v>
      </c>
    </row>
    <row r="161" spans="8:12">
      <c r="H161" s="1" t="s">
        <v>974</v>
      </c>
      <c r="I161" s="1">
        <v>88</v>
      </c>
      <c r="J161" s="1">
        <v>0</v>
      </c>
      <c r="K161" s="1">
        <v>0</v>
      </c>
      <c r="L161" s="1">
        <v>25.96</v>
      </c>
    </row>
    <row r="162" spans="8:12">
      <c r="H162" s="1" t="s">
        <v>975</v>
      </c>
      <c r="I162" s="1">
        <v>73</v>
      </c>
      <c r="J162" s="1">
        <v>0</v>
      </c>
      <c r="K162" s="1">
        <v>0</v>
      </c>
      <c r="L162" s="1">
        <v>25.52</v>
      </c>
    </row>
    <row r="163" spans="8:12">
      <c r="H163" s="1" t="s">
        <v>976</v>
      </c>
      <c r="I163" s="1">
        <v>30</v>
      </c>
      <c r="J163" s="1">
        <v>0</v>
      </c>
      <c r="K163" s="1">
        <v>0</v>
      </c>
      <c r="L163" s="1">
        <v>24.37</v>
      </c>
    </row>
    <row r="164" spans="8:12">
      <c r="H164" s="1" t="s">
        <v>977</v>
      </c>
      <c r="I164" s="1">
        <v>42</v>
      </c>
      <c r="J164" s="1">
        <v>0</v>
      </c>
      <c r="K164" s="1">
        <v>0</v>
      </c>
      <c r="L164" s="1">
        <v>23.36</v>
      </c>
    </row>
    <row r="165" spans="8:12">
      <c r="H165" s="1" t="s">
        <v>978</v>
      </c>
      <c r="I165" s="1">
        <v>38</v>
      </c>
      <c r="J165" s="1">
        <v>0</v>
      </c>
      <c r="K165" s="1">
        <v>0</v>
      </c>
      <c r="L165" s="1">
        <v>24.56</v>
      </c>
    </row>
    <row r="166" spans="8:12">
      <c r="H166" s="1" t="s">
        <v>979</v>
      </c>
      <c r="I166" s="1">
        <v>49</v>
      </c>
      <c r="J166" s="1">
        <v>0</v>
      </c>
      <c r="K166" s="1">
        <v>0</v>
      </c>
      <c r="L166" s="1">
        <v>24.24</v>
      </c>
    </row>
    <row r="167" spans="8:12">
      <c r="H167" s="1" t="s">
        <v>980</v>
      </c>
      <c r="I167" s="1">
        <v>26</v>
      </c>
      <c r="J167" s="1">
        <v>0</v>
      </c>
      <c r="K167" s="1">
        <v>0</v>
      </c>
      <c r="L167" s="1">
        <v>23.1</v>
      </c>
    </row>
    <row r="168" spans="8:12">
      <c r="H168" s="1" t="s">
        <v>981</v>
      </c>
      <c r="I168" s="1">
        <v>29</v>
      </c>
      <c r="J168" s="1">
        <v>0</v>
      </c>
      <c r="K168" s="1">
        <v>0</v>
      </c>
      <c r="L168" s="1">
        <v>22.95</v>
      </c>
    </row>
    <row r="169" spans="8:12">
      <c r="H169" s="1" t="s">
        <v>982</v>
      </c>
      <c r="I169" s="1">
        <v>69</v>
      </c>
      <c r="J169" s="1">
        <v>0</v>
      </c>
      <c r="K169" s="1">
        <v>0</v>
      </c>
      <c r="L169" s="1">
        <v>23.99</v>
      </c>
    </row>
    <row r="170" spans="8:12">
      <c r="H170" s="1" t="s">
        <v>983</v>
      </c>
      <c r="I170" s="1">
        <v>121</v>
      </c>
      <c r="J170" s="1">
        <v>0</v>
      </c>
      <c r="K170" s="1">
        <v>0</v>
      </c>
      <c r="L170" s="1">
        <v>23.16</v>
      </c>
    </row>
    <row r="171" spans="8:12">
      <c r="H171" s="1" t="s">
        <v>984</v>
      </c>
      <c r="I171" s="1">
        <v>26</v>
      </c>
      <c r="J171" s="1">
        <v>0</v>
      </c>
      <c r="K171" s="1">
        <v>0</v>
      </c>
      <c r="L171" s="1">
        <v>22.93</v>
      </c>
    </row>
    <row r="172" spans="8:12">
      <c r="H172" s="1" t="s">
        <v>985</v>
      </c>
      <c r="I172" s="1">
        <v>29</v>
      </c>
      <c r="J172" s="1">
        <v>0</v>
      </c>
      <c r="K172" s="1">
        <v>0</v>
      </c>
      <c r="L172" s="1">
        <v>23.61</v>
      </c>
    </row>
    <row r="173" spans="8:12">
      <c r="H173" s="1" t="s">
        <v>986</v>
      </c>
      <c r="I173" s="1">
        <v>64</v>
      </c>
      <c r="J173" s="1">
        <v>0</v>
      </c>
      <c r="K173" s="1">
        <v>0</v>
      </c>
      <c r="L173" s="1">
        <v>24.09</v>
      </c>
    </row>
    <row r="174" spans="8:12">
      <c r="H174" s="1" t="s">
        <v>987</v>
      </c>
      <c r="I174" s="1">
        <v>37</v>
      </c>
      <c r="J174" s="1">
        <v>0</v>
      </c>
      <c r="K174" s="1">
        <v>0</v>
      </c>
      <c r="L174" s="1">
        <v>23.41</v>
      </c>
    </row>
    <row r="175" spans="8:12">
      <c r="H175" s="1" t="s">
        <v>988</v>
      </c>
      <c r="I175" s="1">
        <v>127</v>
      </c>
      <c r="J175" s="1">
        <v>0</v>
      </c>
      <c r="K175" s="1">
        <v>0</v>
      </c>
      <c r="L175" s="1">
        <v>22.28</v>
      </c>
    </row>
    <row r="176" spans="8:12">
      <c r="H176" s="1" t="s">
        <v>989</v>
      </c>
      <c r="I176" s="1">
        <v>132</v>
      </c>
      <c r="J176" s="1">
        <v>0</v>
      </c>
      <c r="K176" s="1">
        <v>0</v>
      </c>
      <c r="L176" s="1">
        <v>24.31</v>
      </c>
    </row>
    <row r="177" spans="8:12">
      <c r="H177" s="1" t="s">
        <v>990</v>
      </c>
      <c r="I177" s="1">
        <v>47</v>
      </c>
      <c r="J177" s="1">
        <v>0</v>
      </c>
      <c r="K177" s="1">
        <v>0</v>
      </c>
      <c r="L177" s="1">
        <v>21.57</v>
      </c>
    </row>
    <row r="178" spans="8:12">
      <c r="H178" s="1" t="s">
        <v>991</v>
      </c>
      <c r="I178" s="1">
        <v>51</v>
      </c>
      <c r="J178" s="1">
        <v>0</v>
      </c>
      <c r="K178" s="1">
        <v>0</v>
      </c>
      <c r="L178" s="1">
        <v>24.91</v>
      </c>
    </row>
    <row r="179" spans="8:12">
      <c r="H179" s="1" t="s">
        <v>992</v>
      </c>
      <c r="I179" s="1">
        <v>41</v>
      </c>
      <c r="J179" s="1">
        <v>0</v>
      </c>
      <c r="K179" s="1">
        <v>0</v>
      </c>
      <c r="L179" s="1">
        <v>23.05</v>
      </c>
    </row>
    <row r="180" spans="8:12">
      <c r="H180" s="1" t="s">
        <v>993</v>
      </c>
      <c r="I180" s="1">
        <v>35</v>
      </c>
      <c r="J180" s="1">
        <v>0</v>
      </c>
      <c r="K180" s="1">
        <v>0</v>
      </c>
      <c r="L180" s="1">
        <v>23.5</v>
      </c>
    </row>
    <row r="181" spans="8:12">
      <c r="H181" s="1" t="s">
        <v>994</v>
      </c>
      <c r="I181" s="1">
        <v>75</v>
      </c>
      <c r="J181" s="1">
        <v>0</v>
      </c>
      <c r="K181" s="1">
        <v>0</v>
      </c>
      <c r="L181" s="1">
        <v>23.83</v>
      </c>
    </row>
    <row r="182" spans="8:12">
      <c r="H182" s="1" t="s">
        <v>995</v>
      </c>
      <c r="I182" s="1">
        <v>59</v>
      </c>
      <c r="J182" s="1">
        <v>0</v>
      </c>
      <c r="K182" s="1">
        <v>0</v>
      </c>
      <c r="L182" s="1">
        <v>24.17</v>
      </c>
    </row>
    <row r="183" spans="8:12">
      <c r="H183" s="1" t="s">
        <v>996</v>
      </c>
      <c r="I183" s="1">
        <v>31</v>
      </c>
      <c r="J183" s="1">
        <v>0</v>
      </c>
      <c r="K183" s="1">
        <v>0</v>
      </c>
      <c r="L183" s="1">
        <v>20.92</v>
      </c>
    </row>
    <row r="184" spans="8:12">
      <c r="H184" s="1" t="s">
        <v>997</v>
      </c>
      <c r="I184" s="1">
        <v>71</v>
      </c>
      <c r="J184" s="1">
        <v>0</v>
      </c>
      <c r="K184" s="1">
        <v>0</v>
      </c>
      <c r="L184" s="1">
        <v>23.72</v>
      </c>
    </row>
    <row r="185" spans="8:12">
      <c r="H185" s="1" t="s">
        <v>998</v>
      </c>
      <c r="I185" s="1">
        <v>78</v>
      </c>
      <c r="J185" s="1">
        <v>0</v>
      </c>
      <c r="K185" s="1">
        <v>0</v>
      </c>
      <c r="L185" s="1">
        <v>25.1</v>
      </c>
    </row>
    <row r="186" spans="8:12">
      <c r="H186" s="1" t="s">
        <v>999</v>
      </c>
      <c r="I186" s="1">
        <v>21</v>
      </c>
      <c r="J186" s="1">
        <v>0</v>
      </c>
      <c r="K186" s="1">
        <v>0</v>
      </c>
      <c r="L186" s="1">
        <v>24.89</v>
      </c>
    </row>
    <row r="187" spans="8:12">
      <c r="H187" s="1" t="s">
        <v>1000</v>
      </c>
      <c r="I187" s="1">
        <v>80</v>
      </c>
      <c r="J187" s="1">
        <v>0</v>
      </c>
      <c r="K187" s="1">
        <v>0</v>
      </c>
      <c r="L187" s="1">
        <v>25.83</v>
      </c>
    </row>
    <row r="188" spans="8:12">
      <c r="H188" s="1" t="s">
        <v>1001</v>
      </c>
      <c r="I188" s="1">
        <v>58</v>
      </c>
      <c r="J188" s="1">
        <v>0</v>
      </c>
      <c r="K188" s="1">
        <v>0</v>
      </c>
      <c r="L188" s="1">
        <v>25.48</v>
      </c>
    </row>
    <row r="189" spans="8:12">
      <c r="H189" s="1" t="s">
        <v>1002</v>
      </c>
      <c r="I189" s="1">
        <v>91</v>
      </c>
      <c r="J189" s="1">
        <v>0</v>
      </c>
      <c r="K189" s="1">
        <v>0</v>
      </c>
      <c r="L189" s="1">
        <v>23.63</v>
      </c>
    </row>
    <row r="190" spans="8:12">
      <c r="H190" s="1" t="s">
        <v>1003</v>
      </c>
      <c r="I190" s="1">
        <v>34</v>
      </c>
      <c r="J190" s="1">
        <v>0</v>
      </c>
      <c r="K190" s="1">
        <v>0</v>
      </c>
      <c r="L190" s="1">
        <v>25.19</v>
      </c>
    </row>
    <row r="191" spans="8:12">
      <c r="H191" s="1" t="s">
        <v>1004</v>
      </c>
      <c r="I191" s="1">
        <v>21</v>
      </c>
      <c r="J191" s="1">
        <v>0</v>
      </c>
      <c r="K191" s="1">
        <v>0</v>
      </c>
      <c r="L191" s="1">
        <v>22.68</v>
      </c>
    </row>
    <row r="192" spans="8:12">
      <c r="H192" s="1" t="s">
        <v>1005</v>
      </c>
      <c r="I192" s="1">
        <v>20</v>
      </c>
      <c r="J192" s="1">
        <v>0</v>
      </c>
      <c r="K192" s="1">
        <v>0</v>
      </c>
      <c r="L192" s="1">
        <v>24.09</v>
      </c>
    </row>
    <row r="193" spans="8:12">
      <c r="H193" s="1" t="s">
        <v>1006</v>
      </c>
      <c r="I193" s="1">
        <v>59</v>
      </c>
      <c r="J193" s="1">
        <v>0</v>
      </c>
      <c r="K193" s="1">
        <v>0</v>
      </c>
      <c r="L193" s="1">
        <v>23.95</v>
      </c>
    </row>
    <row r="194" spans="8:12">
      <c r="H194" s="1" t="s">
        <v>1007</v>
      </c>
      <c r="I194" s="1">
        <v>56</v>
      </c>
      <c r="J194" s="1">
        <v>0</v>
      </c>
      <c r="K194" s="1">
        <v>0</v>
      </c>
      <c r="L194" s="1">
        <v>24.61</v>
      </c>
    </row>
    <row r="195" spans="8:12">
      <c r="H195" s="1" t="s">
        <v>1008</v>
      </c>
      <c r="I195" s="1">
        <v>33</v>
      </c>
      <c r="J195" s="1">
        <v>0</v>
      </c>
      <c r="K195" s="1">
        <v>0</v>
      </c>
      <c r="L195" s="1">
        <v>24.27</v>
      </c>
    </row>
    <row r="196" spans="8:12">
      <c r="H196" s="1" t="s">
        <v>1009</v>
      </c>
      <c r="I196" s="1">
        <v>21</v>
      </c>
      <c r="J196" s="1">
        <v>0</v>
      </c>
      <c r="K196" s="1">
        <v>0</v>
      </c>
      <c r="L196" s="1">
        <v>24.28</v>
      </c>
    </row>
    <row r="197" spans="8:12">
      <c r="H197" s="1" t="s">
        <v>1010</v>
      </c>
      <c r="I197" s="1">
        <v>28</v>
      </c>
      <c r="J197" s="1">
        <v>0</v>
      </c>
      <c r="K197" s="1">
        <v>0</v>
      </c>
      <c r="L197" s="1">
        <v>21.55</v>
      </c>
    </row>
    <row r="198" spans="8:12">
      <c r="H198" s="1" t="s">
        <v>1011</v>
      </c>
      <c r="I198" s="1">
        <v>53</v>
      </c>
      <c r="J198" s="1">
        <v>0</v>
      </c>
      <c r="K198" s="1">
        <v>0</v>
      </c>
      <c r="L198" s="1">
        <v>25.82</v>
      </c>
    </row>
    <row r="199" spans="8:12">
      <c r="H199" s="1" t="s">
        <v>1012</v>
      </c>
      <c r="I199" s="1">
        <v>92</v>
      </c>
      <c r="J199" s="1">
        <v>0</v>
      </c>
      <c r="K199" s="1">
        <v>0</v>
      </c>
      <c r="L199" s="1">
        <v>25.75</v>
      </c>
    </row>
    <row r="200" spans="8:12">
      <c r="H200" s="1" t="s">
        <v>1013</v>
      </c>
      <c r="I200" s="1">
        <v>64</v>
      </c>
      <c r="J200" s="1">
        <v>0</v>
      </c>
      <c r="K200" s="1">
        <v>0</v>
      </c>
      <c r="L200" s="1">
        <v>22.65</v>
      </c>
    </row>
    <row r="201" spans="8:12">
      <c r="H201" s="1" t="s">
        <v>1014</v>
      </c>
      <c r="I201" s="1">
        <v>60</v>
      </c>
      <c r="J201" s="1">
        <v>0</v>
      </c>
      <c r="K201" s="1">
        <v>0</v>
      </c>
      <c r="L201" s="1">
        <v>22.69</v>
      </c>
    </row>
    <row r="202" spans="8:12">
      <c r="H202" s="1" t="s">
        <v>1015</v>
      </c>
      <c r="I202" s="1">
        <v>42</v>
      </c>
      <c r="J202" s="1">
        <v>0</v>
      </c>
      <c r="K202" s="1">
        <v>0</v>
      </c>
      <c r="L202" s="1">
        <v>24.15</v>
      </c>
    </row>
    <row r="203" spans="8:12">
      <c r="H203" s="1" t="s">
        <v>1016</v>
      </c>
      <c r="I203" s="1">
        <v>25</v>
      </c>
      <c r="J203" s="1">
        <v>0</v>
      </c>
      <c r="K203" s="1">
        <v>0</v>
      </c>
      <c r="L203" s="1">
        <v>24.06</v>
      </c>
    </row>
    <row r="204" spans="8:12">
      <c r="H204" s="1" t="s">
        <v>1017</v>
      </c>
      <c r="I204" s="1">
        <v>32</v>
      </c>
      <c r="J204" s="1">
        <v>0</v>
      </c>
      <c r="K204" s="1">
        <v>0</v>
      </c>
      <c r="L204" s="1">
        <v>26.64</v>
      </c>
    </row>
    <row r="205" spans="8:12">
      <c r="H205" s="1" t="s">
        <v>1018</v>
      </c>
      <c r="I205" s="1">
        <v>28</v>
      </c>
      <c r="J205" s="1">
        <v>0</v>
      </c>
      <c r="K205" s="1">
        <v>0</v>
      </c>
      <c r="L205" s="1">
        <v>21.09</v>
      </c>
    </row>
  </sheetData>
  <mergeCells count="2">
    <mergeCell ref="A1:H1"/>
    <mergeCell ref="P3:Q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43F7-1D81-45B2-B074-CE8CA92F157A}">
  <dimension ref="A1:M92"/>
  <sheetViews>
    <sheetView workbookViewId="0">
      <selection activeCell="X19" sqref="X19"/>
    </sheetView>
  </sheetViews>
  <sheetFormatPr defaultRowHeight="15"/>
  <cols>
    <col min="6" max="6" width="17.140625" customWidth="1"/>
    <col min="8" max="8" width="16.140625" customWidth="1"/>
    <col min="9" max="9" width="22.7109375" customWidth="1"/>
    <col min="10" max="10" width="16.42578125" customWidth="1"/>
    <col min="11" max="11" width="8.85546875" customWidth="1"/>
  </cols>
  <sheetData>
    <row r="1" spans="1:13">
      <c r="A1" s="32" t="s">
        <v>1019</v>
      </c>
      <c r="B1" s="32"/>
      <c r="C1" s="32"/>
      <c r="D1" s="32"/>
      <c r="E1" s="32"/>
      <c r="F1" s="32"/>
      <c r="G1" s="32"/>
      <c r="H1" s="32"/>
    </row>
    <row r="3" spans="1:13">
      <c r="A3" s="3" t="s">
        <v>36</v>
      </c>
      <c r="B3" t="s">
        <v>57</v>
      </c>
      <c r="G3" s="3" t="s">
        <v>38</v>
      </c>
      <c r="H3" s="20" t="s">
        <v>770</v>
      </c>
      <c r="I3" s="20" t="s">
        <v>1020</v>
      </c>
      <c r="J3" s="20" t="s">
        <v>1021</v>
      </c>
      <c r="K3" s="8"/>
      <c r="L3" s="31" t="s">
        <v>42</v>
      </c>
      <c r="M3" s="31"/>
    </row>
    <row r="4" spans="1:13">
      <c r="B4" t="s">
        <v>801</v>
      </c>
      <c r="H4" s="1" t="s">
        <v>222</v>
      </c>
      <c r="I4" s="1">
        <v>50</v>
      </c>
      <c r="J4" s="1">
        <v>2752</v>
      </c>
    </row>
    <row r="5" spans="1:13">
      <c r="B5" t="s">
        <v>1022</v>
      </c>
      <c r="H5" s="1" t="s">
        <v>218</v>
      </c>
      <c r="I5" s="1">
        <v>49</v>
      </c>
      <c r="J5" s="1">
        <v>859</v>
      </c>
    </row>
    <row r="6" spans="1:13">
      <c r="B6" t="s">
        <v>1023</v>
      </c>
      <c r="H6" s="1" t="s">
        <v>833</v>
      </c>
      <c r="I6" s="1">
        <v>49</v>
      </c>
      <c r="J6" s="1">
        <v>657</v>
      </c>
    </row>
    <row r="7" spans="1:13">
      <c r="B7" t="s">
        <v>1024</v>
      </c>
      <c r="H7" s="1" t="s">
        <v>778</v>
      </c>
      <c r="I7" s="1">
        <v>49</v>
      </c>
      <c r="J7" s="1">
        <v>475</v>
      </c>
    </row>
    <row r="8" spans="1:13">
      <c r="B8" t="s">
        <v>1025</v>
      </c>
      <c r="H8" s="1" t="s">
        <v>224</v>
      </c>
      <c r="I8" s="1">
        <v>49</v>
      </c>
      <c r="J8" s="1">
        <v>344</v>
      </c>
    </row>
    <row r="9" spans="1:13">
      <c r="B9" t="s">
        <v>208</v>
      </c>
      <c r="H9" s="1" t="s">
        <v>847</v>
      </c>
      <c r="I9" s="1">
        <v>48</v>
      </c>
      <c r="J9" s="1">
        <v>472</v>
      </c>
    </row>
    <row r="10" spans="1:13">
      <c r="B10" t="s">
        <v>842</v>
      </c>
      <c r="H10" s="1" t="s">
        <v>798</v>
      </c>
      <c r="I10" s="1">
        <v>48</v>
      </c>
      <c r="J10" s="1">
        <v>330</v>
      </c>
    </row>
    <row r="11" spans="1:13">
      <c r="B11" t="s">
        <v>844</v>
      </c>
      <c r="H11" s="1" t="s">
        <v>790</v>
      </c>
      <c r="I11" s="1">
        <v>47</v>
      </c>
      <c r="J11" s="1">
        <v>475</v>
      </c>
    </row>
    <row r="12" spans="1:13">
      <c r="B12" t="s">
        <v>1026</v>
      </c>
      <c r="H12" s="1" t="s">
        <v>786</v>
      </c>
      <c r="I12" s="1">
        <v>46</v>
      </c>
      <c r="J12" s="1">
        <v>1195</v>
      </c>
    </row>
    <row r="13" spans="1:13">
      <c r="B13" t="s">
        <v>1027</v>
      </c>
      <c r="H13" s="1" t="s">
        <v>776</v>
      </c>
      <c r="I13" s="1">
        <v>45</v>
      </c>
      <c r="J13" s="1">
        <v>722</v>
      </c>
    </row>
    <row r="14" spans="1:13">
      <c r="B14" t="s">
        <v>1028</v>
      </c>
      <c r="H14" s="1" t="s">
        <v>220</v>
      </c>
      <c r="I14" s="1">
        <v>44</v>
      </c>
      <c r="J14" s="1">
        <v>903</v>
      </c>
    </row>
    <row r="15" spans="1:13">
      <c r="B15" t="s">
        <v>1029</v>
      </c>
      <c r="H15" s="1" t="s">
        <v>783</v>
      </c>
      <c r="I15" s="1">
        <v>41</v>
      </c>
      <c r="J15" s="1">
        <v>408</v>
      </c>
    </row>
    <row r="16" spans="1:13">
      <c r="B16" t="s">
        <v>846</v>
      </c>
      <c r="H16" s="1" t="s">
        <v>851</v>
      </c>
      <c r="I16" s="1">
        <v>36</v>
      </c>
      <c r="J16" s="1">
        <v>536</v>
      </c>
    </row>
    <row r="17" spans="2:10">
      <c r="B17" t="s">
        <v>1030</v>
      </c>
      <c r="H17" s="1" t="s">
        <v>853</v>
      </c>
      <c r="I17" s="1">
        <v>36</v>
      </c>
      <c r="J17" s="1">
        <v>197</v>
      </c>
    </row>
    <row r="18" spans="2:10">
      <c r="B18" t="s">
        <v>1031</v>
      </c>
      <c r="H18" s="1" t="s">
        <v>789</v>
      </c>
      <c r="I18" s="1">
        <v>35</v>
      </c>
      <c r="J18" s="1">
        <v>515</v>
      </c>
    </row>
    <row r="19" spans="2:10">
      <c r="H19" s="1" t="s">
        <v>804</v>
      </c>
      <c r="I19" s="1">
        <v>33</v>
      </c>
      <c r="J19" s="1">
        <v>483</v>
      </c>
    </row>
    <row r="20" spans="2:10">
      <c r="H20" s="1" t="s">
        <v>864</v>
      </c>
      <c r="I20" s="1">
        <v>33</v>
      </c>
      <c r="J20" s="1">
        <v>158</v>
      </c>
    </row>
    <row r="21" spans="2:10">
      <c r="H21" s="1" t="s">
        <v>781</v>
      </c>
      <c r="I21" s="1">
        <v>29</v>
      </c>
      <c r="J21" s="1">
        <v>1309</v>
      </c>
    </row>
    <row r="22" spans="2:10">
      <c r="H22" s="1" t="s">
        <v>843</v>
      </c>
      <c r="I22" s="1">
        <v>29</v>
      </c>
      <c r="J22" s="1">
        <v>212</v>
      </c>
    </row>
    <row r="23" spans="2:10">
      <c r="H23" s="1" t="s">
        <v>867</v>
      </c>
      <c r="I23" s="1">
        <v>28</v>
      </c>
      <c r="J23" s="1">
        <v>312</v>
      </c>
    </row>
    <row r="24" spans="2:10">
      <c r="H24" s="1" t="s">
        <v>831</v>
      </c>
      <c r="I24" s="1">
        <v>26</v>
      </c>
      <c r="J24" s="1">
        <v>343</v>
      </c>
    </row>
    <row r="25" spans="2:10">
      <c r="H25" s="1" t="s">
        <v>819</v>
      </c>
      <c r="I25" s="1">
        <v>23</v>
      </c>
      <c r="J25" s="1">
        <v>628</v>
      </c>
    </row>
    <row r="26" spans="2:10">
      <c r="H26" s="1" t="s">
        <v>808</v>
      </c>
      <c r="I26" s="1">
        <v>23</v>
      </c>
      <c r="J26" s="1">
        <v>320</v>
      </c>
    </row>
    <row r="27" spans="2:10">
      <c r="H27" s="1" t="s">
        <v>876</v>
      </c>
      <c r="I27" s="1">
        <v>23</v>
      </c>
      <c r="J27" s="1">
        <v>121</v>
      </c>
    </row>
    <row r="28" spans="2:10">
      <c r="H28" s="1" t="s">
        <v>809</v>
      </c>
      <c r="I28" s="1">
        <v>22</v>
      </c>
      <c r="J28" s="1">
        <v>687</v>
      </c>
    </row>
    <row r="29" spans="2:10">
      <c r="H29" s="1" t="s">
        <v>841</v>
      </c>
      <c r="I29" s="1">
        <v>22</v>
      </c>
      <c r="J29" s="1">
        <v>101</v>
      </c>
    </row>
    <row r="30" spans="2:10">
      <c r="H30" s="1" t="s">
        <v>223</v>
      </c>
      <c r="I30" s="1">
        <v>21</v>
      </c>
      <c r="J30" s="1">
        <v>154</v>
      </c>
    </row>
    <row r="31" spans="2:10">
      <c r="H31" s="1" t="s">
        <v>894</v>
      </c>
      <c r="I31" s="1">
        <v>21</v>
      </c>
      <c r="J31" s="1">
        <v>68</v>
      </c>
    </row>
    <row r="32" spans="2:10">
      <c r="H32" s="1" t="s">
        <v>855</v>
      </c>
      <c r="I32" s="1">
        <v>20</v>
      </c>
      <c r="J32" s="1">
        <v>229</v>
      </c>
    </row>
    <row r="33" spans="8:10">
      <c r="H33" s="1" t="s">
        <v>889</v>
      </c>
      <c r="I33" s="1">
        <v>20</v>
      </c>
      <c r="J33" s="1">
        <v>94</v>
      </c>
    </row>
    <row r="34" spans="8:10">
      <c r="H34" s="1" t="s">
        <v>852</v>
      </c>
      <c r="I34" s="1">
        <v>19</v>
      </c>
      <c r="J34" s="1">
        <v>311</v>
      </c>
    </row>
    <row r="35" spans="8:10">
      <c r="H35" s="1" t="s">
        <v>794</v>
      </c>
      <c r="I35" s="1">
        <v>19</v>
      </c>
      <c r="J35" s="1">
        <v>130</v>
      </c>
    </row>
    <row r="36" spans="8:10">
      <c r="H36" s="1" t="s">
        <v>871</v>
      </c>
      <c r="I36" s="1">
        <v>19</v>
      </c>
      <c r="J36" s="1">
        <v>75</v>
      </c>
    </row>
    <row r="37" spans="8:10">
      <c r="H37" s="1" t="s">
        <v>810</v>
      </c>
      <c r="I37" s="1">
        <v>18</v>
      </c>
      <c r="J37" s="1">
        <v>89</v>
      </c>
    </row>
    <row r="38" spans="8:10">
      <c r="H38" s="1" t="s">
        <v>850</v>
      </c>
      <c r="I38" s="1">
        <v>18</v>
      </c>
      <c r="J38" s="1">
        <v>81</v>
      </c>
    </row>
    <row r="39" spans="8:10">
      <c r="H39" s="1" t="s">
        <v>859</v>
      </c>
      <c r="I39" s="1">
        <v>18</v>
      </c>
      <c r="J39" s="1">
        <v>29</v>
      </c>
    </row>
    <row r="40" spans="8:10">
      <c r="H40" s="1" t="s">
        <v>817</v>
      </c>
      <c r="I40" s="1">
        <v>17</v>
      </c>
      <c r="J40" s="1">
        <v>369</v>
      </c>
    </row>
    <row r="41" spans="8:10">
      <c r="H41" s="1" t="s">
        <v>862</v>
      </c>
      <c r="I41" s="1">
        <v>17</v>
      </c>
      <c r="J41" s="1">
        <v>92</v>
      </c>
    </row>
    <row r="42" spans="8:10">
      <c r="H42" s="1" t="s">
        <v>885</v>
      </c>
      <c r="I42" s="1">
        <v>17</v>
      </c>
      <c r="J42" s="1">
        <v>81</v>
      </c>
    </row>
    <row r="43" spans="8:10">
      <c r="H43" s="1" t="s">
        <v>806</v>
      </c>
      <c r="I43" s="1">
        <v>16</v>
      </c>
      <c r="J43" s="1">
        <v>597</v>
      </c>
    </row>
    <row r="44" spans="8:10">
      <c r="H44" s="1" t="s">
        <v>860</v>
      </c>
      <c r="I44" s="1">
        <v>16</v>
      </c>
      <c r="J44" s="1">
        <v>175</v>
      </c>
    </row>
    <row r="45" spans="8:10">
      <c r="H45" s="1" t="s">
        <v>865</v>
      </c>
      <c r="I45" s="1">
        <v>16</v>
      </c>
      <c r="J45" s="1">
        <v>136</v>
      </c>
    </row>
    <row r="46" spans="8:10">
      <c r="H46" s="1" t="s">
        <v>880</v>
      </c>
      <c r="I46" s="1">
        <v>16</v>
      </c>
      <c r="J46" s="1">
        <v>67</v>
      </c>
    </row>
    <row r="47" spans="8:10">
      <c r="H47" s="1" t="s">
        <v>879</v>
      </c>
      <c r="I47" s="1">
        <v>16</v>
      </c>
      <c r="J47" s="1">
        <v>48</v>
      </c>
    </row>
    <row r="48" spans="8:10">
      <c r="H48" s="1" t="s">
        <v>905</v>
      </c>
      <c r="I48" s="1">
        <v>16</v>
      </c>
      <c r="J48" s="1">
        <v>35</v>
      </c>
    </row>
    <row r="49" spans="8:10">
      <c r="H49" s="1" t="s">
        <v>895</v>
      </c>
      <c r="I49" s="1">
        <v>16</v>
      </c>
      <c r="J49" s="1">
        <v>32</v>
      </c>
    </row>
    <row r="50" spans="8:10">
      <c r="H50" s="1" t="s">
        <v>800</v>
      </c>
      <c r="I50" s="1">
        <v>15</v>
      </c>
      <c r="J50" s="1">
        <v>215</v>
      </c>
    </row>
    <row r="51" spans="8:10">
      <c r="H51" s="1" t="s">
        <v>887</v>
      </c>
      <c r="I51" s="1">
        <v>15</v>
      </c>
      <c r="J51" s="1">
        <v>52</v>
      </c>
    </row>
    <row r="52" spans="8:10">
      <c r="H52" s="1" t="s">
        <v>900</v>
      </c>
      <c r="I52" s="1">
        <v>15</v>
      </c>
      <c r="J52" s="1">
        <v>24</v>
      </c>
    </row>
    <row r="53" spans="8:10">
      <c r="H53" s="1" t="s">
        <v>881</v>
      </c>
      <c r="I53" s="1">
        <v>13</v>
      </c>
      <c r="J53" s="1">
        <v>92</v>
      </c>
    </row>
    <row r="54" spans="8:10">
      <c r="H54" s="1" t="s">
        <v>837</v>
      </c>
      <c r="I54" s="1">
        <v>13</v>
      </c>
      <c r="J54" s="1">
        <v>55</v>
      </c>
    </row>
    <row r="55" spans="8:10">
      <c r="H55" s="1" t="s">
        <v>869</v>
      </c>
      <c r="I55" s="1">
        <v>12</v>
      </c>
      <c r="J55" s="1">
        <v>56</v>
      </c>
    </row>
    <row r="56" spans="8:10">
      <c r="H56" s="1" t="s">
        <v>870</v>
      </c>
      <c r="I56" s="1">
        <v>12</v>
      </c>
      <c r="J56" s="1">
        <v>53</v>
      </c>
    </row>
    <row r="57" spans="8:10">
      <c r="H57" s="1" t="s">
        <v>861</v>
      </c>
      <c r="I57" s="1">
        <v>11</v>
      </c>
      <c r="J57" s="1">
        <v>97</v>
      </c>
    </row>
    <row r="58" spans="8:10">
      <c r="H58" s="1" t="s">
        <v>897</v>
      </c>
      <c r="I58" s="1">
        <v>11</v>
      </c>
      <c r="J58" s="1">
        <v>39</v>
      </c>
    </row>
    <row r="59" spans="8:10">
      <c r="H59" s="1" t="s">
        <v>888</v>
      </c>
      <c r="I59" s="1">
        <v>11</v>
      </c>
      <c r="J59" s="1">
        <v>27</v>
      </c>
    </row>
    <row r="60" spans="8:10">
      <c r="H60" s="1" t="s">
        <v>890</v>
      </c>
      <c r="I60" s="1">
        <v>11</v>
      </c>
      <c r="J60" s="1">
        <v>26</v>
      </c>
    </row>
    <row r="61" spans="8:10">
      <c r="H61" s="1" t="s">
        <v>839</v>
      </c>
      <c r="I61" s="1">
        <v>11</v>
      </c>
      <c r="J61" s="1">
        <v>12</v>
      </c>
    </row>
    <row r="62" spans="8:10">
      <c r="H62" s="1" t="s">
        <v>856</v>
      </c>
      <c r="I62" s="1">
        <v>10</v>
      </c>
      <c r="J62" s="1">
        <v>33</v>
      </c>
    </row>
    <row r="63" spans="8:10">
      <c r="H63" s="1" t="s">
        <v>896</v>
      </c>
      <c r="I63" s="1">
        <v>10</v>
      </c>
      <c r="J63" s="1">
        <v>32</v>
      </c>
    </row>
    <row r="64" spans="8:10">
      <c r="H64" s="1" t="s">
        <v>914</v>
      </c>
      <c r="I64" s="1">
        <v>10</v>
      </c>
      <c r="J64" s="1">
        <v>28</v>
      </c>
    </row>
    <row r="65" spans="8:10">
      <c r="H65" s="1" t="s">
        <v>901</v>
      </c>
      <c r="I65" s="1">
        <v>10</v>
      </c>
      <c r="J65" s="1">
        <v>23</v>
      </c>
    </row>
    <row r="66" spans="8:10">
      <c r="H66" s="1" t="s">
        <v>878</v>
      </c>
      <c r="I66" s="1">
        <v>10</v>
      </c>
      <c r="J66" s="1">
        <v>19</v>
      </c>
    </row>
    <row r="67" spans="8:10">
      <c r="H67" s="1" t="s">
        <v>926</v>
      </c>
      <c r="I67" s="1">
        <v>10</v>
      </c>
      <c r="J67" s="1">
        <v>15</v>
      </c>
    </row>
    <row r="68" spans="8:10">
      <c r="H68" s="1" t="s">
        <v>877</v>
      </c>
      <c r="I68" s="1">
        <v>9</v>
      </c>
      <c r="J68" s="1">
        <v>43</v>
      </c>
    </row>
    <row r="69" spans="8:10">
      <c r="H69" s="1" t="s">
        <v>835</v>
      </c>
      <c r="I69" s="1">
        <v>9</v>
      </c>
      <c r="J69" s="1">
        <v>31</v>
      </c>
    </row>
    <row r="70" spans="8:10">
      <c r="H70" s="1" t="s">
        <v>857</v>
      </c>
      <c r="I70" s="1">
        <v>9</v>
      </c>
      <c r="J70" s="1">
        <v>26</v>
      </c>
    </row>
    <row r="71" spans="8:10">
      <c r="H71" s="1" t="s">
        <v>933</v>
      </c>
      <c r="I71" s="1">
        <v>9</v>
      </c>
      <c r="J71" s="1">
        <v>25</v>
      </c>
    </row>
    <row r="72" spans="8:10">
      <c r="H72" s="1" t="s">
        <v>866</v>
      </c>
      <c r="I72" s="1">
        <v>9</v>
      </c>
      <c r="J72" s="1">
        <v>14</v>
      </c>
    </row>
    <row r="73" spans="8:10">
      <c r="H73" s="1" t="s">
        <v>858</v>
      </c>
      <c r="I73" s="1">
        <v>8</v>
      </c>
      <c r="J73" s="1">
        <v>36</v>
      </c>
    </row>
    <row r="74" spans="8:10">
      <c r="H74" s="1" t="s">
        <v>872</v>
      </c>
      <c r="I74" s="1">
        <v>8</v>
      </c>
      <c r="J74" s="1">
        <v>31</v>
      </c>
    </row>
    <row r="75" spans="8:10">
      <c r="H75" s="1" t="s">
        <v>828</v>
      </c>
      <c r="I75" s="1">
        <v>8</v>
      </c>
      <c r="J75" s="1">
        <v>25</v>
      </c>
    </row>
    <row r="76" spans="8:10">
      <c r="H76" s="1" t="s">
        <v>875</v>
      </c>
      <c r="I76" s="1">
        <v>8</v>
      </c>
      <c r="J76" s="1">
        <v>23</v>
      </c>
    </row>
    <row r="77" spans="8:10">
      <c r="H77" s="1" t="s">
        <v>928</v>
      </c>
      <c r="I77" s="1">
        <v>8</v>
      </c>
      <c r="J77" s="1">
        <v>10</v>
      </c>
    </row>
    <row r="78" spans="8:10">
      <c r="H78" s="1" t="s">
        <v>854</v>
      </c>
      <c r="I78" s="1">
        <v>7</v>
      </c>
      <c r="J78" s="1">
        <v>52</v>
      </c>
    </row>
    <row r="79" spans="8:10">
      <c r="H79" s="1" t="s">
        <v>913</v>
      </c>
      <c r="I79" s="1">
        <v>7</v>
      </c>
      <c r="J79" s="1">
        <v>17</v>
      </c>
    </row>
    <row r="80" spans="8:10">
      <c r="H80" s="1" t="s">
        <v>874</v>
      </c>
      <c r="I80" s="1">
        <v>7</v>
      </c>
      <c r="J80" s="1">
        <v>16</v>
      </c>
    </row>
    <row r="81" spans="8:10">
      <c r="H81" s="1" t="s">
        <v>898</v>
      </c>
      <c r="I81" s="1">
        <v>7</v>
      </c>
      <c r="J81" s="1">
        <v>13</v>
      </c>
    </row>
    <row r="82" spans="8:10">
      <c r="H82" s="1" t="s">
        <v>943</v>
      </c>
      <c r="I82" s="1">
        <v>7</v>
      </c>
      <c r="J82" s="1">
        <v>13</v>
      </c>
    </row>
    <row r="83" spans="8:10">
      <c r="H83" s="1" t="s">
        <v>893</v>
      </c>
      <c r="I83" s="1">
        <v>7</v>
      </c>
      <c r="J83" s="1">
        <v>12</v>
      </c>
    </row>
    <row r="84" spans="8:10">
      <c r="H84" s="1" t="s">
        <v>873</v>
      </c>
      <c r="I84" s="1">
        <v>7</v>
      </c>
      <c r="J84" s="1">
        <v>9</v>
      </c>
    </row>
    <row r="85" spans="8:10">
      <c r="H85" s="1" t="s">
        <v>949</v>
      </c>
      <c r="I85" s="1">
        <v>7</v>
      </c>
      <c r="J85" s="1">
        <v>9</v>
      </c>
    </row>
    <row r="86" spans="8:10">
      <c r="H86" s="1" t="s">
        <v>902</v>
      </c>
      <c r="I86" s="1">
        <v>6</v>
      </c>
      <c r="J86" s="1">
        <v>12</v>
      </c>
    </row>
    <row r="87" spans="8:10">
      <c r="H87" s="1" t="s">
        <v>938</v>
      </c>
      <c r="I87" s="1">
        <v>6</v>
      </c>
      <c r="J87" s="1">
        <v>9</v>
      </c>
    </row>
    <row r="88" spans="8:10">
      <c r="H88" s="1" t="s">
        <v>947</v>
      </c>
      <c r="I88" s="1">
        <v>6</v>
      </c>
      <c r="J88" s="1">
        <v>8</v>
      </c>
    </row>
    <row r="89" spans="8:10">
      <c r="H89" s="1" t="s">
        <v>821</v>
      </c>
      <c r="I89" s="1">
        <v>5</v>
      </c>
      <c r="J89" s="1">
        <v>18</v>
      </c>
    </row>
    <row r="90" spans="8:10">
      <c r="H90" s="1" t="s">
        <v>917</v>
      </c>
      <c r="I90" s="1">
        <v>5</v>
      </c>
      <c r="J90" s="1">
        <v>7</v>
      </c>
    </row>
    <row r="91" spans="8:10">
      <c r="H91" s="1" t="s">
        <v>922</v>
      </c>
      <c r="I91" s="1">
        <v>5</v>
      </c>
      <c r="J91" s="1">
        <v>7</v>
      </c>
    </row>
    <row r="92" spans="8:10">
      <c r="H92" s="1" t="s">
        <v>883</v>
      </c>
      <c r="I92" s="1">
        <v>5</v>
      </c>
      <c r="J92" s="1">
        <v>6</v>
      </c>
    </row>
  </sheetData>
  <mergeCells count="2">
    <mergeCell ref="A1:H1"/>
    <mergeCell ref="L3:M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5A20A-3FEF-4127-B27A-B7250F9D6CC3}">
  <dimension ref="A1:O92"/>
  <sheetViews>
    <sheetView workbookViewId="0">
      <selection activeCell="Q37" sqref="Q37"/>
    </sheetView>
  </sheetViews>
  <sheetFormatPr defaultRowHeight="15"/>
  <cols>
    <col min="6" max="6" width="17.140625" customWidth="1"/>
    <col min="8" max="8" width="16.140625" style="4" customWidth="1"/>
    <col min="9" max="9" width="22.7109375" style="4" customWidth="1"/>
    <col min="10" max="10" width="16.42578125" customWidth="1"/>
    <col min="11" max="11" width="8.85546875" customWidth="1"/>
    <col min="12" max="13" width="19.7109375" customWidth="1"/>
  </cols>
  <sheetData>
    <row r="1" spans="1:15">
      <c r="A1" s="32" t="s">
        <v>1032</v>
      </c>
      <c r="B1" s="32"/>
      <c r="C1" s="32"/>
      <c r="D1" s="32"/>
      <c r="E1" s="32"/>
      <c r="F1" s="32"/>
      <c r="G1" s="32"/>
      <c r="H1" s="32"/>
      <c r="I1"/>
    </row>
    <row r="2" spans="1:15">
      <c r="H2"/>
      <c r="I2"/>
    </row>
    <row r="3" spans="1:15">
      <c r="A3" s="3" t="s">
        <v>36</v>
      </c>
      <c r="B3" t="s">
        <v>1033</v>
      </c>
      <c r="G3" s="3" t="s">
        <v>38</v>
      </c>
      <c r="H3" s="19" t="s">
        <v>126</v>
      </c>
      <c r="I3" s="19" t="s">
        <v>770</v>
      </c>
      <c r="J3" s="19" t="s">
        <v>1034</v>
      </c>
      <c r="K3" s="8"/>
      <c r="L3" s="15" t="s">
        <v>1035</v>
      </c>
      <c r="M3" s="15" t="s">
        <v>1034</v>
      </c>
      <c r="N3" s="31" t="s">
        <v>42</v>
      </c>
      <c r="O3" s="31"/>
    </row>
    <row r="4" spans="1:15">
      <c r="B4" t="s">
        <v>773</v>
      </c>
      <c r="H4" s="1" t="s">
        <v>198</v>
      </c>
      <c r="I4" s="1" t="s">
        <v>222</v>
      </c>
      <c r="J4" s="1">
        <v>676</v>
      </c>
      <c r="L4" s="4" t="str">
        <f>H4&amp;" ("&amp;I4&amp;")"</f>
        <v>Athletics (USA)</v>
      </c>
      <c r="M4" s="4">
        <v>676</v>
      </c>
    </row>
    <row r="5" spans="1:15">
      <c r="B5" t="s">
        <v>774</v>
      </c>
      <c r="H5" s="1" t="s">
        <v>199</v>
      </c>
      <c r="I5" s="1" t="s">
        <v>222</v>
      </c>
      <c r="J5" s="1">
        <v>479</v>
      </c>
      <c r="L5" s="4" t="str">
        <f t="shared" ref="L5:L18" si="0">H5&amp;" ("&amp;I5&amp;")"</f>
        <v>Swimming (USA)</v>
      </c>
      <c r="M5" s="4">
        <v>479</v>
      </c>
    </row>
    <row r="6" spans="1:15">
      <c r="B6" t="s">
        <v>775</v>
      </c>
      <c r="H6" s="1" t="s">
        <v>185</v>
      </c>
      <c r="I6" s="1" t="s">
        <v>222</v>
      </c>
      <c r="J6" s="1">
        <v>306</v>
      </c>
      <c r="L6" s="4" t="str">
        <f t="shared" si="0"/>
        <v>Rowing (USA)</v>
      </c>
      <c r="M6" s="4">
        <v>306</v>
      </c>
    </row>
    <row r="7" spans="1:15">
      <c r="B7" t="s">
        <v>1036</v>
      </c>
      <c r="H7" s="1" t="s">
        <v>171</v>
      </c>
      <c r="I7" s="1" t="s">
        <v>778</v>
      </c>
      <c r="J7" s="1">
        <v>276</v>
      </c>
      <c r="L7" s="4" t="str">
        <f t="shared" si="0"/>
        <v>Ice Hockey (Canada)</v>
      </c>
      <c r="M7" s="4">
        <v>276</v>
      </c>
    </row>
    <row r="8" spans="1:15">
      <c r="B8" t="s">
        <v>52</v>
      </c>
      <c r="H8" s="1" t="s">
        <v>159</v>
      </c>
      <c r="I8" s="1" t="s">
        <v>222</v>
      </c>
      <c r="J8" s="1">
        <v>262</v>
      </c>
      <c r="L8" s="4" t="str">
        <f t="shared" si="0"/>
        <v>Basketball (USA)</v>
      </c>
      <c r="M8" s="4">
        <v>262</v>
      </c>
    </row>
    <row r="9" spans="1:15">
      <c r="B9" t="s">
        <v>779</v>
      </c>
      <c r="H9" s="1" t="s">
        <v>175</v>
      </c>
      <c r="I9" s="1" t="s">
        <v>783</v>
      </c>
      <c r="J9" s="1">
        <v>173</v>
      </c>
      <c r="L9" s="4" t="str">
        <f t="shared" si="0"/>
        <v>Hockey (Netherlands)</v>
      </c>
      <c r="M9" s="4">
        <v>173</v>
      </c>
    </row>
    <row r="10" spans="1:15">
      <c r="B10" t="s">
        <v>780</v>
      </c>
      <c r="H10" s="1" t="s">
        <v>202</v>
      </c>
      <c r="I10" s="1" t="s">
        <v>218</v>
      </c>
      <c r="J10" s="1">
        <v>167</v>
      </c>
      <c r="L10" s="4" t="str">
        <f t="shared" si="0"/>
        <v>Fencing (France)</v>
      </c>
      <c r="M10" s="4">
        <v>167</v>
      </c>
    </row>
    <row r="11" spans="1:15">
      <c r="B11" t="s">
        <v>1037</v>
      </c>
      <c r="H11" s="1" t="s">
        <v>184</v>
      </c>
      <c r="I11" s="1" t="s">
        <v>794</v>
      </c>
      <c r="J11" s="1">
        <v>119</v>
      </c>
      <c r="L11" s="4" t="str">
        <f t="shared" si="0"/>
        <v>Football (Brazil)</v>
      </c>
      <c r="M11" s="4">
        <v>119</v>
      </c>
    </row>
    <row r="12" spans="1:15">
      <c r="B12" t="s">
        <v>1038</v>
      </c>
      <c r="H12" s="1" t="s">
        <v>195</v>
      </c>
      <c r="I12" s="1" t="s">
        <v>222</v>
      </c>
      <c r="J12" s="1">
        <v>119</v>
      </c>
      <c r="L12" s="4" t="str">
        <f t="shared" si="0"/>
        <v>Water Polo (USA)</v>
      </c>
      <c r="M12" s="4">
        <v>119</v>
      </c>
    </row>
    <row r="13" spans="1:15">
      <c r="B13" t="s">
        <v>782</v>
      </c>
      <c r="H13" s="1" t="s">
        <v>187</v>
      </c>
      <c r="I13" s="1" t="s">
        <v>222</v>
      </c>
      <c r="J13" s="1">
        <v>115</v>
      </c>
      <c r="L13" s="4" t="str">
        <f t="shared" si="0"/>
        <v>Sailing (USA)</v>
      </c>
      <c r="M13" s="4">
        <v>115</v>
      </c>
    </row>
    <row r="14" spans="1:15">
      <c r="B14" t="s">
        <v>784</v>
      </c>
      <c r="H14" s="1" t="s">
        <v>200</v>
      </c>
      <c r="I14" s="1" t="s">
        <v>222</v>
      </c>
      <c r="J14" s="1">
        <v>111</v>
      </c>
      <c r="L14" s="4" t="str">
        <f t="shared" si="0"/>
        <v>Gymnastics (USA)</v>
      </c>
      <c r="M14" s="4">
        <v>111</v>
      </c>
    </row>
    <row r="15" spans="1:15">
      <c r="B15" t="s">
        <v>785</v>
      </c>
      <c r="H15" s="1" t="s">
        <v>204</v>
      </c>
      <c r="I15" s="1" t="s">
        <v>222</v>
      </c>
      <c r="J15" s="1">
        <v>111</v>
      </c>
      <c r="L15" s="4" t="str">
        <f t="shared" si="0"/>
        <v>Wrestling (USA)</v>
      </c>
      <c r="M15" s="4">
        <v>111</v>
      </c>
    </row>
    <row r="16" spans="1:15">
      <c r="B16" t="s">
        <v>787</v>
      </c>
      <c r="H16" s="1" t="s">
        <v>196</v>
      </c>
      <c r="I16" s="1" t="s">
        <v>220</v>
      </c>
      <c r="J16" s="1">
        <v>109</v>
      </c>
      <c r="L16" s="4" t="str">
        <f t="shared" si="0"/>
        <v>Cycling (UK)</v>
      </c>
      <c r="M16" s="4">
        <v>109</v>
      </c>
    </row>
    <row r="17" spans="2:13">
      <c r="B17" t="s">
        <v>788</v>
      </c>
      <c r="H17" s="1" t="s">
        <v>155</v>
      </c>
      <c r="I17" s="1" t="s">
        <v>781</v>
      </c>
      <c r="J17" s="1">
        <v>107</v>
      </c>
      <c r="L17" s="4" t="str">
        <f t="shared" si="0"/>
        <v>Volleyball (Soviet Union)</v>
      </c>
      <c r="M17" s="4">
        <v>107</v>
      </c>
    </row>
    <row r="18" spans="2:13">
      <c r="B18" t="s">
        <v>773</v>
      </c>
      <c r="H18" s="1" t="s">
        <v>197</v>
      </c>
      <c r="I18" s="1" t="s">
        <v>222</v>
      </c>
      <c r="J18" s="1">
        <v>104</v>
      </c>
      <c r="L18" s="4" t="str">
        <f t="shared" si="0"/>
        <v>Shooting (USA)</v>
      </c>
      <c r="M18" s="4">
        <v>104</v>
      </c>
    </row>
    <row r="19" spans="2:13">
      <c r="B19" t="s">
        <v>774</v>
      </c>
      <c r="H19" s="1" t="s">
        <v>181</v>
      </c>
      <c r="I19" s="1" t="s">
        <v>222</v>
      </c>
      <c r="J19" s="1">
        <v>102</v>
      </c>
    </row>
    <row r="20" spans="2:13">
      <c r="B20" t="s">
        <v>775</v>
      </c>
      <c r="H20" s="1" t="s">
        <v>160</v>
      </c>
      <c r="I20" s="1" t="s">
        <v>786</v>
      </c>
      <c r="J20" s="1">
        <v>95</v>
      </c>
    </row>
    <row r="21" spans="2:13">
      <c r="B21" t="s">
        <v>1039</v>
      </c>
      <c r="H21" s="1" t="s">
        <v>179</v>
      </c>
      <c r="I21" s="1" t="s">
        <v>222</v>
      </c>
      <c r="J21" s="1">
        <v>87</v>
      </c>
    </row>
    <row r="22" spans="2:13">
      <c r="B22" t="s">
        <v>792</v>
      </c>
      <c r="H22" s="1" t="s">
        <v>194</v>
      </c>
      <c r="I22" s="1" t="s">
        <v>786</v>
      </c>
      <c r="J22" s="1">
        <v>81</v>
      </c>
    </row>
    <row r="23" spans="2:13">
      <c r="B23" t="s">
        <v>793</v>
      </c>
      <c r="H23" s="1" t="s">
        <v>161</v>
      </c>
      <c r="I23" s="1" t="s">
        <v>808</v>
      </c>
      <c r="J23" s="1">
        <v>74</v>
      </c>
    </row>
    <row r="24" spans="2:13">
      <c r="B24" t="s">
        <v>1040</v>
      </c>
      <c r="H24" s="1" t="s">
        <v>142</v>
      </c>
      <c r="I24" s="1" t="s">
        <v>800</v>
      </c>
      <c r="J24" s="1">
        <v>73</v>
      </c>
    </row>
    <row r="25" spans="2:13">
      <c r="B25" t="s">
        <v>796</v>
      </c>
      <c r="H25" s="1" t="s">
        <v>167</v>
      </c>
      <c r="I25" s="1" t="s">
        <v>790</v>
      </c>
      <c r="J25" s="1">
        <v>73</v>
      </c>
    </row>
    <row r="26" spans="2:13">
      <c r="B26" t="s">
        <v>1041</v>
      </c>
      <c r="H26" s="1" t="s">
        <v>158</v>
      </c>
      <c r="I26" s="1" t="s">
        <v>798</v>
      </c>
      <c r="J26" s="1">
        <v>71</v>
      </c>
    </row>
    <row r="27" spans="2:13">
      <c r="B27" t="s">
        <v>799</v>
      </c>
      <c r="H27" s="1" t="s">
        <v>153</v>
      </c>
      <c r="I27" s="1" t="s">
        <v>804</v>
      </c>
      <c r="J27" s="1">
        <v>66</v>
      </c>
    </row>
    <row r="28" spans="2:13">
      <c r="B28" t="s">
        <v>57</v>
      </c>
      <c r="H28" s="1" t="s">
        <v>170</v>
      </c>
      <c r="I28" s="1" t="s">
        <v>224</v>
      </c>
      <c r="J28" s="1">
        <v>62</v>
      </c>
    </row>
    <row r="29" spans="2:13">
      <c r="B29" t="s">
        <v>206</v>
      </c>
      <c r="H29" s="1" t="s">
        <v>203</v>
      </c>
      <c r="I29" s="1" t="s">
        <v>781</v>
      </c>
      <c r="J29" s="1">
        <v>52</v>
      </c>
    </row>
    <row r="30" spans="2:13">
      <c r="B30" t="s">
        <v>801</v>
      </c>
      <c r="H30" s="1" t="s">
        <v>174</v>
      </c>
      <c r="I30" s="1" t="s">
        <v>222</v>
      </c>
      <c r="J30" s="1">
        <v>51</v>
      </c>
    </row>
    <row r="31" spans="2:13">
      <c r="B31" t="s">
        <v>1042</v>
      </c>
      <c r="H31" s="1" t="s">
        <v>164</v>
      </c>
      <c r="I31" s="1" t="s">
        <v>783</v>
      </c>
      <c r="J31" s="1">
        <v>51</v>
      </c>
    </row>
    <row r="32" spans="2:13">
      <c r="B32" t="s">
        <v>803</v>
      </c>
      <c r="H32" s="1" t="s">
        <v>165</v>
      </c>
      <c r="I32" s="1" t="s">
        <v>778</v>
      </c>
      <c r="J32" s="1">
        <v>47</v>
      </c>
    </row>
    <row r="33" spans="2:10">
      <c r="B33" t="s">
        <v>805</v>
      </c>
      <c r="H33" s="1" t="s">
        <v>148</v>
      </c>
      <c r="I33" s="1" t="s">
        <v>806</v>
      </c>
      <c r="J33" s="1">
        <v>45</v>
      </c>
    </row>
    <row r="34" spans="2:10">
      <c r="B34" t="s">
        <v>1043</v>
      </c>
      <c r="H34" s="1" t="s">
        <v>186</v>
      </c>
      <c r="I34" s="1" t="s">
        <v>218</v>
      </c>
      <c r="J34" s="1">
        <v>42</v>
      </c>
    </row>
    <row r="35" spans="2:10">
      <c r="H35" s="1" t="s">
        <v>151</v>
      </c>
      <c r="I35" s="1" t="s">
        <v>809</v>
      </c>
      <c r="J35" s="1">
        <v>40</v>
      </c>
    </row>
    <row r="36" spans="2:10">
      <c r="H36" s="1" t="s">
        <v>201</v>
      </c>
      <c r="I36" s="1" t="s">
        <v>220</v>
      </c>
      <c r="J36" s="1">
        <v>39</v>
      </c>
    </row>
    <row r="37" spans="2:10">
      <c r="H37" s="1" t="s">
        <v>146</v>
      </c>
      <c r="I37" s="1" t="s">
        <v>808</v>
      </c>
      <c r="J37" s="1">
        <v>37</v>
      </c>
    </row>
    <row r="38" spans="2:10">
      <c r="H38" s="1" t="s">
        <v>190</v>
      </c>
      <c r="I38" s="1" t="s">
        <v>808</v>
      </c>
      <c r="J38" s="1">
        <v>36</v>
      </c>
    </row>
    <row r="39" spans="2:10">
      <c r="H39" s="1" t="s">
        <v>140</v>
      </c>
      <c r="I39" s="1" t="s">
        <v>222</v>
      </c>
      <c r="J39" s="1">
        <v>36</v>
      </c>
    </row>
    <row r="40" spans="2:10">
      <c r="H40" s="1" t="s">
        <v>150</v>
      </c>
      <c r="I40" s="1" t="s">
        <v>806</v>
      </c>
      <c r="J40" s="1">
        <v>34</v>
      </c>
    </row>
    <row r="41" spans="2:10">
      <c r="H41" s="1" t="s">
        <v>191</v>
      </c>
      <c r="I41" s="1" t="s">
        <v>222</v>
      </c>
      <c r="J41" s="1">
        <v>33</v>
      </c>
    </row>
    <row r="42" spans="2:10">
      <c r="H42" s="1" t="s">
        <v>152</v>
      </c>
      <c r="I42" s="1" t="s">
        <v>804</v>
      </c>
      <c r="J42" s="1">
        <v>33</v>
      </c>
    </row>
    <row r="43" spans="2:10">
      <c r="H43" s="1" t="s">
        <v>156</v>
      </c>
      <c r="I43" s="1" t="s">
        <v>809</v>
      </c>
      <c r="J43" s="1">
        <v>32</v>
      </c>
    </row>
    <row r="44" spans="2:10">
      <c r="H44" s="1" t="s">
        <v>169</v>
      </c>
      <c r="I44" s="1" t="s">
        <v>790</v>
      </c>
      <c r="J44" s="1">
        <v>29</v>
      </c>
    </row>
    <row r="45" spans="2:10">
      <c r="H45" s="1" t="s">
        <v>193</v>
      </c>
      <c r="I45" s="1" t="s">
        <v>220</v>
      </c>
      <c r="J45" s="1">
        <v>27</v>
      </c>
    </row>
    <row r="46" spans="2:10">
      <c r="H46" s="1" t="s">
        <v>154</v>
      </c>
      <c r="I46" s="1" t="s">
        <v>786</v>
      </c>
      <c r="J46" s="1">
        <v>26</v>
      </c>
    </row>
    <row r="47" spans="2:10">
      <c r="H47" s="1" t="s">
        <v>183</v>
      </c>
      <c r="I47" s="1" t="s">
        <v>220</v>
      </c>
      <c r="J47" s="1">
        <v>25</v>
      </c>
    </row>
    <row r="48" spans="2:10">
      <c r="H48" s="1" t="s">
        <v>172</v>
      </c>
      <c r="I48" s="1" t="s">
        <v>786</v>
      </c>
      <c r="J48" s="1">
        <v>24</v>
      </c>
    </row>
    <row r="49" spans="8:10">
      <c r="H49" s="1" t="s">
        <v>166</v>
      </c>
      <c r="I49" s="1" t="s">
        <v>790</v>
      </c>
      <c r="J49" s="1">
        <v>23</v>
      </c>
    </row>
    <row r="50" spans="8:10">
      <c r="H50" s="1" t="s">
        <v>182</v>
      </c>
      <c r="I50" s="1" t="s">
        <v>778</v>
      </c>
      <c r="J50" s="1">
        <v>23</v>
      </c>
    </row>
    <row r="51" spans="8:10">
      <c r="H51" s="1" t="s">
        <v>173</v>
      </c>
      <c r="I51" s="1" t="s">
        <v>789</v>
      </c>
      <c r="J51" s="1">
        <v>22</v>
      </c>
    </row>
    <row r="52" spans="8:10">
      <c r="H52" s="1" t="s">
        <v>144</v>
      </c>
      <c r="I52" s="1" t="s">
        <v>222</v>
      </c>
      <c r="J52" s="1">
        <v>19</v>
      </c>
    </row>
    <row r="53" spans="8:10">
      <c r="H53" s="1" t="s">
        <v>192</v>
      </c>
      <c r="I53" s="1" t="s">
        <v>220</v>
      </c>
      <c r="J53" s="1">
        <v>17</v>
      </c>
    </row>
    <row r="54" spans="8:10">
      <c r="H54" s="1" t="s">
        <v>139</v>
      </c>
      <c r="I54" s="1" t="s">
        <v>794</v>
      </c>
      <c r="J54" s="1">
        <v>17</v>
      </c>
    </row>
    <row r="55" spans="8:10">
      <c r="H55" s="1" t="s">
        <v>137</v>
      </c>
      <c r="I55" s="1" t="s">
        <v>222</v>
      </c>
      <c r="J55" s="1">
        <v>17</v>
      </c>
    </row>
    <row r="56" spans="8:10">
      <c r="H56" s="1" t="s">
        <v>135</v>
      </c>
      <c r="I56" s="1" t="s">
        <v>808</v>
      </c>
      <c r="J56" s="1">
        <v>15</v>
      </c>
    </row>
    <row r="57" spans="8:10">
      <c r="H57" s="1" t="s">
        <v>129</v>
      </c>
      <c r="I57" s="1" t="s">
        <v>882</v>
      </c>
      <c r="J57" s="1">
        <v>13</v>
      </c>
    </row>
    <row r="58" spans="8:10">
      <c r="H58" s="1" t="s">
        <v>163</v>
      </c>
      <c r="I58" s="1" t="s">
        <v>220</v>
      </c>
      <c r="J58" s="1">
        <v>11</v>
      </c>
    </row>
    <row r="59" spans="8:10">
      <c r="H59" s="1" t="s">
        <v>177</v>
      </c>
      <c r="I59" s="1" t="s">
        <v>220</v>
      </c>
      <c r="J59" s="1">
        <v>7</v>
      </c>
    </row>
    <row r="60" spans="8:10">
      <c r="H60" s="1" t="s">
        <v>133</v>
      </c>
      <c r="I60" s="1" t="s">
        <v>806</v>
      </c>
      <c r="J60" s="1">
        <v>6</v>
      </c>
    </row>
    <row r="61" spans="8:10">
      <c r="H61" s="1" t="s">
        <v>162</v>
      </c>
      <c r="I61" s="1" t="s">
        <v>222</v>
      </c>
      <c r="J61" s="1">
        <v>6</v>
      </c>
    </row>
    <row r="62" spans="8:10">
      <c r="H62" s="1" t="s">
        <v>188</v>
      </c>
      <c r="I62" s="1" t="s">
        <v>218</v>
      </c>
      <c r="J62" s="1">
        <v>5</v>
      </c>
    </row>
    <row r="63" spans="8:10">
      <c r="H63" s="1" t="s">
        <v>131</v>
      </c>
      <c r="I63" s="1" t="s">
        <v>851</v>
      </c>
      <c r="J63" s="1">
        <v>5</v>
      </c>
    </row>
    <row r="64" spans="8:10">
      <c r="H64" s="1" t="s">
        <v>168</v>
      </c>
      <c r="I64" s="1" t="s">
        <v>847</v>
      </c>
      <c r="J64" s="1">
        <v>4</v>
      </c>
    </row>
    <row r="65" spans="8:10">
      <c r="H65" s="1" t="s">
        <v>178</v>
      </c>
      <c r="I65" s="1" t="s">
        <v>220</v>
      </c>
      <c r="J65" s="1">
        <v>3</v>
      </c>
    </row>
    <row r="66" spans="8:10">
      <c r="H66" s="1" t="s">
        <v>180</v>
      </c>
      <c r="I66" s="1" t="s">
        <v>222</v>
      </c>
      <c r="J66" s="1">
        <v>3</v>
      </c>
    </row>
    <row r="67" spans="8:10">
      <c r="H67" s="1" t="s">
        <v>189</v>
      </c>
      <c r="I67" s="1" t="s">
        <v>223</v>
      </c>
      <c r="J67" s="1">
        <v>2</v>
      </c>
    </row>
    <row r="68" spans="8:10">
      <c r="H68" s="1" t="s">
        <v>176</v>
      </c>
      <c r="I68" s="1" t="s">
        <v>220</v>
      </c>
      <c r="J68" s="1">
        <v>2</v>
      </c>
    </row>
    <row r="69" spans="8:10">
      <c r="H69" s="10" t="s">
        <v>157</v>
      </c>
      <c r="I69" s="10" t="s">
        <v>224</v>
      </c>
      <c r="J69" s="1">
        <v>1</v>
      </c>
    </row>
    <row r="70" spans="8:10">
      <c r="J70" s="5"/>
    </row>
    <row r="71" spans="8:10">
      <c r="J71" s="9"/>
    </row>
    <row r="72" spans="8:10">
      <c r="J72" s="9"/>
    </row>
    <row r="73" spans="8:10">
      <c r="J73" s="9"/>
    </row>
    <row r="74" spans="8:10">
      <c r="J74" s="9"/>
    </row>
    <row r="75" spans="8:10">
      <c r="J75" s="9"/>
    </row>
    <row r="76" spans="8:10">
      <c r="J76" s="9"/>
    </row>
    <row r="77" spans="8:10">
      <c r="J77" s="9"/>
    </row>
    <row r="78" spans="8:10">
      <c r="J78" s="9"/>
    </row>
    <row r="79" spans="8:10">
      <c r="J79" s="9"/>
    </row>
    <row r="80" spans="8:10">
      <c r="J80" s="9"/>
    </row>
    <row r="81" spans="10:10">
      <c r="J81" s="9"/>
    </row>
    <row r="82" spans="10:10">
      <c r="J82" s="9"/>
    </row>
    <row r="83" spans="10:10">
      <c r="J83" s="9"/>
    </row>
    <row r="84" spans="10:10">
      <c r="J84" s="9"/>
    </row>
    <row r="85" spans="10:10">
      <c r="J85" s="9"/>
    </row>
    <row r="86" spans="10:10">
      <c r="J86" s="9"/>
    </row>
    <row r="87" spans="10:10">
      <c r="J87" s="9"/>
    </row>
    <row r="88" spans="10:10">
      <c r="J88" s="9"/>
    </row>
    <row r="89" spans="10:10">
      <c r="J89" s="9"/>
    </row>
    <row r="90" spans="10:10">
      <c r="J90" s="9"/>
    </row>
    <row r="91" spans="10:10">
      <c r="J91" s="9"/>
    </row>
    <row r="92" spans="10:10">
      <c r="J92" s="9"/>
    </row>
  </sheetData>
  <mergeCells count="2">
    <mergeCell ref="A1:H1"/>
    <mergeCell ref="N3:O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3FE78-364A-4DC0-84D9-E494A3C732C4}">
  <dimension ref="A1:O563"/>
  <sheetViews>
    <sheetView topLeftCell="F1" workbookViewId="0">
      <selection activeCell="M27" sqref="M27"/>
    </sheetView>
  </sheetViews>
  <sheetFormatPr defaultRowHeight="15"/>
  <cols>
    <col min="6" max="6" width="17.140625" customWidth="1"/>
    <col min="8" max="8" width="16.140625" style="4" customWidth="1"/>
    <col min="9" max="9" width="20.7109375" style="4" customWidth="1"/>
    <col min="10" max="10" width="9" customWidth="1"/>
    <col min="11" max="11" width="8.85546875" customWidth="1"/>
    <col min="12" max="12" width="25.140625" customWidth="1"/>
    <col min="13" max="13" width="8.7109375" customWidth="1"/>
    <col min="16" max="16" width="25.42578125" bestFit="1" customWidth="1"/>
    <col min="17" max="17" width="18.140625" bestFit="1" customWidth="1"/>
    <col min="18" max="18" width="20.28515625" bestFit="1" customWidth="1"/>
  </cols>
  <sheetData>
    <row r="1" spans="1:15">
      <c r="A1" s="32" t="s">
        <v>1044</v>
      </c>
      <c r="B1" s="32"/>
      <c r="C1" s="32"/>
      <c r="D1" s="32"/>
      <c r="E1" s="32"/>
      <c r="F1" s="32"/>
      <c r="G1" s="32"/>
      <c r="H1" s="32"/>
      <c r="I1"/>
    </row>
    <row r="2" spans="1:15">
      <c r="H2"/>
      <c r="I2"/>
    </row>
    <row r="3" spans="1:15">
      <c r="A3" s="3" t="s">
        <v>36</v>
      </c>
      <c r="B3" t="s">
        <v>57</v>
      </c>
      <c r="G3" s="3" t="s">
        <v>38</v>
      </c>
      <c r="H3" s="20" t="s">
        <v>770</v>
      </c>
      <c r="I3" s="20" t="s">
        <v>126</v>
      </c>
      <c r="J3" s="20" t="s">
        <v>1034</v>
      </c>
      <c r="K3" s="8"/>
      <c r="L3" s="15" t="s">
        <v>1045</v>
      </c>
      <c r="M3" s="22" t="s">
        <v>1034</v>
      </c>
      <c r="N3" s="31" t="s">
        <v>42</v>
      </c>
      <c r="O3" s="31"/>
    </row>
    <row r="4" spans="1:15">
      <c r="B4" t="s">
        <v>801</v>
      </c>
      <c r="H4" s="1" t="s">
        <v>871</v>
      </c>
      <c r="I4" s="1" t="s">
        <v>199</v>
      </c>
      <c r="J4" s="1">
        <v>3</v>
      </c>
      <c r="L4" s="1" t="str">
        <f>H4&amp;" - "&amp;I4</f>
        <v>Argentina - Swimming</v>
      </c>
      <c r="M4" s="9">
        <v>3</v>
      </c>
    </row>
    <row r="5" spans="1:15">
      <c r="B5" t="s">
        <v>206</v>
      </c>
      <c r="H5" s="1" t="s">
        <v>851</v>
      </c>
      <c r="I5" s="1" t="s">
        <v>204</v>
      </c>
      <c r="J5" s="1">
        <v>3</v>
      </c>
      <c r="L5" s="1" t="str">
        <f t="shared" ref="L5:L18" si="0">H5&amp;" - "&amp;I5</f>
        <v>Australia - Wrestling</v>
      </c>
      <c r="M5" s="9">
        <v>3</v>
      </c>
    </row>
    <row r="6" spans="1:15">
      <c r="B6" t="s">
        <v>1046</v>
      </c>
      <c r="H6" s="1" t="s">
        <v>798</v>
      </c>
      <c r="I6" s="1" t="s">
        <v>167</v>
      </c>
      <c r="J6" s="1">
        <v>3</v>
      </c>
      <c r="L6" s="1" t="str">
        <f t="shared" si="0"/>
        <v>Austria - Cross Country Skiing</v>
      </c>
      <c r="M6" s="9">
        <v>3</v>
      </c>
    </row>
    <row r="7" spans="1:15">
      <c r="B7" t="s">
        <v>208</v>
      </c>
      <c r="H7" s="1" t="s">
        <v>798</v>
      </c>
      <c r="I7" s="1" t="s">
        <v>164</v>
      </c>
      <c r="J7" s="1">
        <v>3</v>
      </c>
      <c r="L7" s="1" t="str">
        <f t="shared" si="0"/>
        <v>Austria - Speed Skating</v>
      </c>
      <c r="M7" s="9">
        <v>3</v>
      </c>
    </row>
    <row r="8" spans="1:15">
      <c r="B8" t="s">
        <v>842</v>
      </c>
      <c r="H8" s="1" t="s">
        <v>854</v>
      </c>
      <c r="I8" s="1" t="s">
        <v>135</v>
      </c>
      <c r="J8" s="1">
        <v>3</v>
      </c>
      <c r="L8" s="1" t="str">
        <f t="shared" si="0"/>
        <v>Azerbaijan - Taekwondo</v>
      </c>
      <c r="M8" s="9">
        <v>3</v>
      </c>
    </row>
    <row r="9" spans="1:15">
      <c r="B9" t="s">
        <v>210</v>
      </c>
      <c r="H9" s="1" t="s">
        <v>866</v>
      </c>
      <c r="I9" s="1" t="s">
        <v>187</v>
      </c>
      <c r="J9" s="1">
        <v>3</v>
      </c>
      <c r="L9" s="1" t="str">
        <f t="shared" si="0"/>
        <v>Bahamas - Sailing</v>
      </c>
      <c r="M9" s="9">
        <v>3</v>
      </c>
    </row>
    <row r="10" spans="1:15">
      <c r="B10" t="s">
        <v>1028</v>
      </c>
      <c r="H10" s="1" t="s">
        <v>915</v>
      </c>
      <c r="I10" s="1" t="s">
        <v>198</v>
      </c>
      <c r="J10" s="1">
        <v>3</v>
      </c>
      <c r="L10" s="1" t="str">
        <f t="shared" si="0"/>
        <v>Bahrain - Athletics</v>
      </c>
      <c r="M10" s="9">
        <v>3</v>
      </c>
    </row>
    <row r="11" spans="1:15">
      <c r="B11" t="s">
        <v>1029</v>
      </c>
      <c r="H11" s="1" t="s">
        <v>865</v>
      </c>
      <c r="I11" s="1" t="s">
        <v>201</v>
      </c>
      <c r="J11" s="1">
        <v>3</v>
      </c>
      <c r="L11" s="1" t="str">
        <f t="shared" si="0"/>
        <v>Belarus - Tennis</v>
      </c>
      <c r="M11" s="9">
        <v>3</v>
      </c>
    </row>
    <row r="12" spans="1:15">
      <c r="B12" t="s">
        <v>1047</v>
      </c>
      <c r="H12" s="1" t="s">
        <v>864</v>
      </c>
      <c r="I12" s="1" t="s">
        <v>181</v>
      </c>
      <c r="J12" s="1">
        <v>3</v>
      </c>
      <c r="L12" s="1" t="str">
        <f t="shared" si="0"/>
        <v>Belgium - Boxing</v>
      </c>
      <c r="M12" s="9">
        <v>3</v>
      </c>
    </row>
    <row r="13" spans="1:15">
      <c r="B13" t="s">
        <v>1048</v>
      </c>
      <c r="H13" s="1" t="s">
        <v>864</v>
      </c>
      <c r="I13" s="1" t="s">
        <v>174</v>
      </c>
      <c r="J13" s="1">
        <v>3</v>
      </c>
      <c r="L13" s="1" t="str">
        <f t="shared" si="0"/>
        <v>Belgium - Figure Skating</v>
      </c>
      <c r="M13" s="9">
        <v>3</v>
      </c>
    </row>
    <row r="14" spans="1:15">
      <c r="B14" t="s">
        <v>1049</v>
      </c>
      <c r="H14" s="1" t="s">
        <v>864</v>
      </c>
      <c r="I14" s="1" t="s">
        <v>201</v>
      </c>
      <c r="J14" s="1">
        <v>3</v>
      </c>
      <c r="L14" s="1" t="str">
        <f t="shared" si="0"/>
        <v>Belgium - Tennis</v>
      </c>
      <c r="M14" s="9">
        <v>3</v>
      </c>
    </row>
    <row r="15" spans="1:15">
      <c r="H15" s="1" t="s">
        <v>864</v>
      </c>
      <c r="I15" s="1" t="s">
        <v>193</v>
      </c>
      <c r="J15" s="1">
        <v>3</v>
      </c>
      <c r="L15" s="1" t="str">
        <f t="shared" si="0"/>
        <v>Belgium - Tug-Of-War</v>
      </c>
      <c r="M15" s="9">
        <v>3</v>
      </c>
    </row>
    <row r="16" spans="1:15">
      <c r="H16" s="1" t="s">
        <v>794</v>
      </c>
      <c r="I16" s="1" t="s">
        <v>200</v>
      </c>
      <c r="J16" s="1">
        <v>3</v>
      </c>
      <c r="L16" s="1" t="str">
        <f t="shared" si="0"/>
        <v>Brazil - Gymnastics</v>
      </c>
      <c r="M16" s="9">
        <v>3</v>
      </c>
    </row>
    <row r="17" spans="8:13">
      <c r="H17" s="1" t="s">
        <v>855</v>
      </c>
      <c r="I17" s="1" t="s">
        <v>194</v>
      </c>
      <c r="J17" s="1">
        <v>3</v>
      </c>
      <c r="L17" s="1" t="str">
        <f t="shared" si="0"/>
        <v>Bulgaria - Equestrianism</v>
      </c>
      <c r="M17" s="9">
        <v>3</v>
      </c>
    </row>
    <row r="18" spans="8:13">
      <c r="H18" s="1" t="s">
        <v>855</v>
      </c>
      <c r="I18" s="1" t="s">
        <v>153</v>
      </c>
      <c r="J18" s="1">
        <v>3</v>
      </c>
      <c r="L18" s="1" t="str">
        <f t="shared" si="0"/>
        <v>Bulgaria - Judo</v>
      </c>
      <c r="M18" s="9">
        <v>3</v>
      </c>
    </row>
    <row r="19" spans="8:13">
      <c r="H19" s="1" t="s">
        <v>778</v>
      </c>
      <c r="I19" s="1" t="s">
        <v>167</v>
      </c>
      <c r="J19" s="1">
        <v>3</v>
      </c>
    </row>
    <row r="20" spans="8:13">
      <c r="H20" s="1" t="s">
        <v>778</v>
      </c>
      <c r="I20" s="1" t="s">
        <v>203</v>
      </c>
      <c r="J20" s="1">
        <v>3</v>
      </c>
    </row>
    <row r="21" spans="8:13">
      <c r="H21" s="1" t="s">
        <v>898</v>
      </c>
      <c r="I21" s="1" t="s">
        <v>181</v>
      </c>
      <c r="J21" s="1">
        <v>3</v>
      </c>
    </row>
    <row r="22" spans="8:13">
      <c r="H22" s="1" t="s">
        <v>898</v>
      </c>
      <c r="I22" s="1" t="s">
        <v>194</v>
      </c>
      <c r="J22" s="1">
        <v>3</v>
      </c>
    </row>
    <row r="23" spans="8:13">
      <c r="H23" s="1" t="s">
        <v>837</v>
      </c>
      <c r="I23" s="1" t="s">
        <v>198</v>
      </c>
      <c r="J23" s="1">
        <v>3</v>
      </c>
    </row>
    <row r="24" spans="8:13">
      <c r="H24" s="1" t="s">
        <v>837</v>
      </c>
      <c r="I24" s="1" t="s">
        <v>187</v>
      </c>
      <c r="J24" s="1">
        <v>3</v>
      </c>
    </row>
    <row r="25" spans="8:13">
      <c r="H25" s="1" t="s">
        <v>837</v>
      </c>
      <c r="I25" s="1" t="s">
        <v>197</v>
      </c>
      <c r="J25" s="1">
        <v>3</v>
      </c>
    </row>
    <row r="26" spans="8:13">
      <c r="H26" s="1" t="s">
        <v>837</v>
      </c>
      <c r="I26" s="1" t="s">
        <v>135</v>
      </c>
      <c r="J26" s="1">
        <v>3</v>
      </c>
    </row>
    <row r="27" spans="8:13">
      <c r="H27" s="1" t="s">
        <v>800</v>
      </c>
      <c r="I27" s="1" t="s">
        <v>160</v>
      </c>
      <c r="J27" s="1">
        <v>3</v>
      </c>
    </row>
    <row r="28" spans="8:13">
      <c r="H28" s="1" t="s">
        <v>862</v>
      </c>
      <c r="I28" s="1" t="s">
        <v>169</v>
      </c>
      <c r="J28" s="1">
        <v>3</v>
      </c>
    </row>
    <row r="29" spans="8:13">
      <c r="H29" s="1" t="s">
        <v>853</v>
      </c>
      <c r="I29" s="1" t="s">
        <v>172</v>
      </c>
      <c r="J29" s="1">
        <v>3</v>
      </c>
    </row>
    <row r="30" spans="8:13">
      <c r="H30" s="1" t="s">
        <v>853</v>
      </c>
      <c r="I30" s="1" t="s">
        <v>173</v>
      </c>
      <c r="J30" s="1">
        <v>3</v>
      </c>
    </row>
    <row r="31" spans="8:13">
      <c r="H31" s="1" t="s">
        <v>843</v>
      </c>
      <c r="I31" s="1" t="s">
        <v>193</v>
      </c>
      <c r="J31" s="1">
        <v>3</v>
      </c>
    </row>
    <row r="32" spans="8:13">
      <c r="H32" s="1" t="s">
        <v>933</v>
      </c>
      <c r="I32" s="1" t="s">
        <v>181</v>
      </c>
      <c r="J32" s="1">
        <v>3</v>
      </c>
    </row>
    <row r="33" spans="8:10">
      <c r="H33" s="1" t="s">
        <v>879</v>
      </c>
      <c r="I33" s="1" t="s">
        <v>167</v>
      </c>
      <c r="J33" s="1">
        <v>3</v>
      </c>
    </row>
    <row r="34" spans="8:10">
      <c r="H34" s="1" t="s">
        <v>847</v>
      </c>
      <c r="I34" s="1" t="s">
        <v>144</v>
      </c>
      <c r="J34" s="1">
        <v>3</v>
      </c>
    </row>
    <row r="35" spans="8:10">
      <c r="H35" s="1" t="s">
        <v>847</v>
      </c>
      <c r="I35" s="1" t="s">
        <v>137</v>
      </c>
      <c r="J35" s="1">
        <v>3</v>
      </c>
    </row>
    <row r="36" spans="8:10">
      <c r="H36" s="1" t="s">
        <v>847</v>
      </c>
      <c r="I36" s="1" t="s">
        <v>199</v>
      </c>
      <c r="J36" s="1">
        <v>3</v>
      </c>
    </row>
    <row r="37" spans="8:10">
      <c r="H37" s="1" t="s">
        <v>847</v>
      </c>
      <c r="I37" s="1" t="s">
        <v>203</v>
      </c>
      <c r="J37" s="1">
        <v>3</v>
      </c>
    </row>
    <row r="38" spans="8:10">
      <c r="H38" s="1" t="s">
        <v>858</v>
      </c>
      <c r="I38" s="1" t="s">
        <v>203</v>
      </c>
      <c r="J38" s="1">
        <v>3</v>
      </c>
    </row>
    <row r="39" spans="8:10">
      <c r="H39" s="1" t="s">
        <v>786</v>
      </c>
      <c r="I39" s="1" t="s">
        <v>173</v>
      </c>
      <c r="J39" s="1">
        <v>3</v>
      </c>
    </row>
    <row r="40" spans="8:10">
      <c r="H40" s="1" t="s">
        <v>884</v>
      </c>
      <c r="I40" s="1" t="s">
        <v>181</v>
      </c>
      <c r="J40" s="1">
        <v>3</v>
      </c>
    </row>
    <row r="41" spans="8:10">
      <c r="H41" s="1" t="s">
        <v>889</v>
      </c>
      <c r="I41" s="1" t="s">
        <v>197</v>
      </c>
      <c r="J41" s="1">
        <v>3</v>
      </c>
    </row>
    <row r="42" spans="8:10">
      <c r="H42" s="1" t="s">
        <v>889</v>
      </c>
      <c r="I42" s="1" t="s">
        <v>135</v>
      </c>
      <c r="J42" s="1">
        <v>3</v>
      </c>
    </row>
    <row r="43" spans="8:10">
      <c r="H43" s="1" t="s">
        <v>874</v>
      </c>
      <c r="I43" s="1" t="s">
        <v>150</v>
      </c>
      <c r="J43" s="1">
        <v>3</v>
      </c>
    </row>
    <row r="44" spans="8:10">
      <c r="H44" s="1" t="s">
        <v>872</v>
      </c>
      <c r="I44" s="1" t="s">
        <v>190</v>
      </c>
      <c r="J44" s="1">
        <v>3</v>
      </c>
    </row>
    <row r="45" spans="8:10">
      <c r="H45" s="1" t="s">
        <v>905</v>
      </c>
      <c r="I45" s="1" t="s">
        <v>172</v>
      </c>
      <c r="J45" s="1">
        <v>3</v>
      </c>
    </row>
    <row r="46" spans="8:10">
      <c r="H46" s="1" t="s">
        <v>905</v>
      </c>
      <c r="I46" s="1" t="s">
        <v>187</v>
      </c>
      <c r="J46" s="1">
        <v>3</v>
      </c>
    </row>
    <row r="47" spans="8:10">
      <c r="H47" s="1" t="s">
        <v>776</v>
      </c>
      <c r="I47" s="1" t="s">
        <v>174</v>
      </c>
      <c r="J47" s="1">
        <v>3</v>
      </c>
    </row>
    <row r="48" spans="8:10">
      <c r="H48" s="1" t="s">
        <v>804</v>
      </c>
      <c r="I48" s="1" t="s">
        <v>137</v>
      </c>
      <c r="J48" s="1">
        <v>3</v>
      </c>
    </row>
    <row r="49" spans="8:10">
      <c r="H49" s="1" t="s">
        <v>804</v>
      </c>
      <c r="I49" s="1" t="s">
        <v>201</v>
      </c>
      <c r="J49" s="1">
        <v>3</v>
      </c>
    </row>
    <row r="50" spans="8:10">
      <c r="H50" s="1" t="s">
        <v>881</v>
      </c>
      <c r="I50" s="1" t="s">
        <v>153</v>
      </c>
      <c r="J50" s="1">
        <v>3</v>
      </c>
    </row>
    <row r="51" spans="8:10">
      <c r="H51" s="1" t="s">
        <v>881</v>
      </c>
      <c r="I51" s="1" t="s">
        <v>195</v>
      </c>
      <c r="J51" s="1">
        <v>3</v>
      </c>
    </row>
    <row r="52" spans="8:10">
      <c r="H52" s="1" t="s">
        <v>909</v>
      </c>
      <c r="I52" s="1" t="s">
        <v>204</v>
      </c>
      <c r="J52" s="1">
        <v>3</v>
      </c>
    </row>
    <row r="53" spans="8:10">
      <c r="H53" s="1" t="s">
        <v>924</v>
      </c>
      <c r="I53" s="1" t="s">
        <v>204</v>
      </c>
      <c r="J53" s="1">
        <v>3</v>
      </c>
    </row>
    <row r="54" spans="8:10">
      <c r="H54" s="1" t="s">
        <v>856</v>
      </c>
      <c r="I54" s="1" t="s">
        <v>198</v>
      </c>
      <c r="J54" s="1">
        <v>3</v>
      </c>
    </row>
    <row r="55" spans="8:10">
      <c r="H55" s="1" t="s">
        <v>856</v>
      </c>
      <c r="I55" s="1" t="s">
        <v>160</v>
      </c>
      <c r="J55" s="1">
        <v>3</v>
      </c>
    </row>
    <row r="56" spans="8:10">
      <c r="H56" s="1" t="s">
        <v>856</v>
      </c>
      <c r="I56" s="1" t="s">
        <v>173</v>
      </c>
      <c r="J56" s="1">
        <v>3</v>
      </c>
    </row>
    <row r="57" spans="8:10">
      <c r="H57" s="1" t="s">
        <v>783</v>
      </c>
      <c r="I57" s="1" t="s">
        <v>203</v>
      </c>
      <c r="J57" s="1">
        <v>3</v>
      </c>
    </row>
    <row r="58" spans="8:10">
      <c r="H58" s="1" t="s">
        <v>876</v>
      </c>
      <c r="I58" s="1" t="s">
        <v>181</v>
      </c>
      <c r="J58" s="1">
        <v>3</v>
      </c>
    </row>
    <row r="59" spans="8:10">
      <c r="H59" s="1" t="s">
        <v>869</v>
      </c>
      <c r="I59" s="1" t="s">
        <v>200</v>
      </c>
      <c r="J59" s="1">
        <v>3</v>
      </c>
    </row>
    <row r="60" spans="8:10">
      <c r="H60" s="1" t="s">
        <v>869</v>
      </c>
      <c r="I60" s="1" t="s">
        <v>197</v>
      </c>
      <c r="J60" s="1">
        <v>3</v>
      </c>
    </row>
    <row r="61" spans="8:10">
      <c r="H61" s="1" t="s">
        <v>790</v>
      </c>
      <c r="I61" s="1" t="s">
        <v>194</v>
      </c>
      <c r="J61" s="1">
        <v>3</v>
      </c>
    </row>
    <row r="62" spans="8:10">
      <c r="H62" s="1" t="s">
        <v>903</v>
      </c>
      <c r="I62" s="1" t="s">
        <v>197</v>
      </c>
      <c r="J62" s="1">
        <v>3</v>
      </c>
    </row>
    <row r="63" spans="8:10">
      <c r="H63" s="1" t="s">
        <v>867</v>
      </c>
      <c r="I63" s="1" t="s">
        <v>187</v>
      </c>
      <c r="J63" s="1">
        <v>3</v>
      </c>
    </row>
    <row r="64" spans="8:10">
      <c r="H64" s="1" t="s">
        <v>867</v>
      </c>
      <c r="I64" s="1" t="s">
        <v>169</v>
      </c>
      <c r="J64" s="1">
        <v>3</v>
      </c>
    </row>
    <row r="65" spans="8:10">
      <c r="H65" s="1" t="s">
        <v>809</v>
      </c>
      <c r="I65" s="1" t="s">
        <v>135</v>
      </c>
      <c r="J65" s="1">
        <v>3</v>
      </c>
    </row>
    <row r="66" spans="8:10">
      <c r="H66" s="1" t="s">
        <v>809</v>
      </c>
      <c r="I66" s="1" t="s">
        <v>133</v>
      </c>
      <c r="J66" s="1">
        <v>3</v>
      </c>
    </row>
    <row r="67" spans="8:10">
      <c r="H67" s="1" t="s">
        <v>921</v>
      </c>
      <c r="I67" s="1" t="s">
        <v>150</v>
      </c>
      <c r="J67" s="1">
        <v>3</v>
      </c>
    </row>
    <row r="68" spans="8:10">
      <c r="H68" s="1" t="s">
        <v>897</v>
      </c>
      <c r="I68" s="1" t="s">
        <v>197</v>
      </c>
      <c r="J68" s="1">
        <v>3</v>
      </c>
    </row>
    <row r="69" spans="8:10">
      <c r="H69" s="1" t="s">
        <v>781</v>
      </c>
      <c r="I69" s="1" t="s">
        <v>166</v>
      </c>
      <c r="J69" s="1">
        <v>3</v>
      </c>
    </row>
    <row r="70" spans="8:10">
      <c r="H70" s="1" t="s">
        <v>781</v>
      </c>
      <c r="I70" s="1" t="s">
        <v>201</v>
      </c>
      <c r="J70" s="1">
        <v>3</v>
      </c>
    </row>
    <row r="71" spans="8:10">
      <c r="H71" s="1" t="s">
        <v>223</v>
      </c>
      <c r="I71" s="1" t="s">
        <v>190</v>
      </c>
      <c r="J71" s="1">
        <v>3</v>
      </c>
    </row>
    <row r="72" spans="8:10">
      <c r="H72" s="1" t="s">
        <v>223</v>
      </c>
      <c r="I72" s="1" t="s">
        <v>181</v>
      </c>
      <c r="J72" s="1">
        <v>3</v>
      </c>
    </row>
    <row r="73" spans="8:10">
      <c r="H73" s="1" t="s">
        <v>223</v>
      </c>
      <c r="I73" s="1" t="s">
        <v>197</v>
      </c>
      <c r="J73" s="1">
        <v>3</v>
      </c>
    </row>
    <row r="74" spans="8:10">
      <c r="H74" s="1" t="s">
        <v>224</v>
      </c>
      <c r="I74" s="1" t="s">
        <v>174</v>
      </c>
      <c r="J74" s="1">
        <v>3</v>
      </c>
    </row>
    <row r="75" spans="8:10">
      <c r="H75" s="1" t="s">
        <v>224</v>
      </c>
      <c r="I75" s="1" t="s">
        <v>153</v>
      </c>
      <c r="J75" s="1">
        <v>3</v>
      </c>
    </row>
    <row r="76" spans="8:10">
      <c r="H76" s="1" t="s">
        <v>917</v>
      </c>
      <c r="I76" s="1" t="s">
        <v>198</v>
      </c>
      <c r="J76" s="1">
        <v>3</v>
      </c>
    </row>
    <row r="77" spans="8:10">
      <c r="H77" s="1" t="s">
        <v>917</v>
      </c>
      <c r="I77" s="1" t="s">
        <v>181</v>
      </c>
      <c r="J77" s="1">
        <v>3</v>
      </c>
    </row>
    <row r="78" spans="8:10">
      <c r="H78" s="1" t="s">
        <v>220</v>
      </c>
      <c r="I78" s="1" t="s">
        <v>191</v>
      </c>
      <c r="J78" s="1">
        <v>3</v>
      </c>
    </row>
    <row r="79" spans="8:10">
      <c r="H79" s="1" t="s">
        <v>220</v>
      </c>
      <c r="I79" s="1" t="s">
        <v>178</v>
      </c>
      <c r="J79" s="1">
        <v>3</v>
      </c>
    </row>
    <row r="80" spans="8:10">
      <c r="H80" s="1" t="s">
        <v>220</v>
      </c>
      <c r="I80" s="1" t="s">
        <v>131</v>
      </c>
      <c r="J80" s="1">
        <v>3</v>
      </c>
    </row>
    <row r="81" spans="8:10">
      <c r="H81" s="1" t="s">
        <v>817</v>
      </c>
      <c r="I81" s="1" t="s">
        <v>181</v>
      </c>
      <c r="J81" s="1">
        <v>3</v>
      </c>
    </row>
    <row r="82" spans="8:10">
      <c r="H82" s="1" t="s">
        <v>817</v>
      </c>
      <c r="I82" s="1" t="s">
        <v>173</v>
      </c>
      <c r="J82" s="1">
        <v>3</v>
      </c>
    </row>
    <row r="83" spans="8:10">
      <c r="H83" s="1" t="s">
        <v>817</v>
      </c>
      <c r="I83" s="1" t="s">
        <v>187</v>
      </c>
      <c r="J83" s="1">
        <v>3</v>
      </c>
    </row>
    <row r="84" spans="8:10">
      <c r="H84" s="1" t="s">
        <v>817</v>
      </c>
      <c r="I84" s="1" t="s">
        <v>201</v>
      </c>
      <c r="J84" s="1">
        <v>3</v>
      </c>
    </row>
    <row r="85" spans="8:10">
      <c r="H85" s="1" t="s">
        <v>873</v>
      </c>
      <c r="I85" s="1" t="s">
        <v>185</v>
      </c>
      <c r="J85" s="1">
        <v>3</v>
      </c>
    </row>
    <row r="86" spans="8:10">
      <c r="H86" s="1" t="s">
        <v>222</v>
      </c>
      <c r="I86" s="1" t="s">
        <v>180</v>
      </c>
      <c r="J86" s="1">
        <v>3</v>
      </c>
    </row>
    <row r="87" spans="8:10">
      <c r="H87" s="1" t="s">
        <v>222</v>
      </c>
      <c r="I87" s="1" t="s">
        <v>150</v>
      </c>
      <c r="J87" s="1">
        <v>3</v>
      </c>
    </row>
    <row r="88" spans="8:10">
      <c r="H88" s="1" t="s">
        <v>831</v>
      </c>
      <c r="I88" s="1" t="s">
        <v>174</v>
      </c>
      <c r="J88" s="1">
        <v>3</v>
      </c>
    </row>
    <row r="89" spans="8:10">
      <c r="H89" s="1" t="s">
        <v>841</v>
      </c>
      <c r="I89" s="1" t="s">
        <v>160</v>
      </c>
      <c r="J89" s="1">
        <v>3</v>
      </c>
    </row>
    <row r="90" spans="8:10">
      <c r="H90" s="1" t="s">
        <v>841</v>
      </c>
      <c r="I90" s="1" t="s">
        <v>197</v>
      </c>
      <c r="J90" s="1">
        <v>3</v>
      </c>
    </row>
    <row r="91" spans="8:10">
      <c r="H91" s="1" t="s">
        <v>913</v>
      </c>
      <c r="I91" s="1" t="s">
        <v>153</v>
      </c>
      <c r="J91" s="1">
        <v>2</v>
      </c>
    </row>
    <row r="92" spans="8:10">
      <c r="H92" s="1" t="s">
        <v>871</v>
      </c>
      <c r="I92" s="1" t="s">
        <v>196</v>
      </c>
      <c r="J92" s="1">
        <v>2</v>
      </c>
    </row>
    <row r="93" spans="8:10">
      <c r="H93" s="1" t="s">
        <v>851</v>
      </c>
      <c r="I93" s="1" t="s">
        <v>139</v>
      </c>
      <c r="J93" s="1">
        <v>2</v>
      </c>
    </row>
    <row r="94" spans="8:10">
      <c r="H94" s="1" t="s">
        <v>851</v>
      </c>
      <c r="I94" s="1" t="s">
        <v>153</v>
      </c>
      <c r="J94" s="1">
        <v>2</v>
      </c>
    </row>
    <row r="95" spans="8:10">
      <c r="H95" s="1" t="s">
        <v>851</v>
      </c>
      <c r="I95" s="1" t="s">
        <v>173</v>
      </c>
      <c r="J95" s="1">
        <v>2</v>
      </c>
    </row>
    <row r="96" spans="8:10">
      <c r="H96" s="1" t="s">
        <v>851</v>
      </c>
      <c r="I96" s="1" t="s">
        <v>135</v>
      </c>
      <c r="J96" s="1">
        <v>2</v>
      </c>
    </row>
    <row r="97" spans="8:10">
      <c r="H97" s="1" t="s">
        <v>798</v>
      </c>
      <c r="I97" s="1" t="s">
        <v>201</v>
      </c>
      <c r="J97" s="1">
        <v>2</v>
      </c>
    </row>
    <row r="98" spans="8:10">
      <c r="H98" s="1" t="s">
        <v>854</v>
      </c>
      <c r="I98" s="1" t="s">
        <v>160</v>
      </c>
      <c r="J98" s="1">
        <v>2</v>
      </c>
    </row>
    <row r="99" spans="8:10">
      <c r="H99" s="1" t="s">
        <v>854</v>
      </c>
      <c r="I99" s="1" t="s">
        <v>197</v>
      </c>
      <c r="J99" s="1">
        <v>2</v>
      </c>
    </row>
    <row r="100" spans="8:10">
      <c r="H100" s="1" t="s">
        <v>865</v>
      </c>
      <c r="I100" s="1" t="s">
        <v>181</v>
      </c>
      <c r="J100" s="1">
        <v>2</v>
      </c>
    </row>
    <row r="101" spans="8:10">
      <c r="H101" s="1" t="s">
        <v>865</v>
      </c>
      <c r="I101" s="1" t="s">
        <v>200</v>
      </c>
      <c r="J101" s="1">
        <v>2</v>
      </c>
    </row>
    <row r="102" spans="8:10">
      <c r="H102" s="1" t="s">
        <v>865</v>
      </c>
      <c r="I102" s="1" t="s">
        <v>153</v>
      </c>
      <c r="J102" s="1">
        <v>2</v>
      </c>
    </row>
    <row r="103" spans="8:10">
      <c r="H103" s="1" t="s">
        <v>865</v>
      </c>
      <c r="I103" s="1" t="s">
        <v>199</v>
      </c>
      <c r="J103" s="1">
        <v>2</v>
      </c>
    </row>
    <row r="104" spans="8:10">
      <c r="H104" s="1" t="s">
        <v>864</v>
      </c>
      <c r="I104" s="1" t="s">
        <v>203</v>
      </c>
      <c r="J104" s="1">
        <v>2</v>
      </c>
    </row>
    <row r="105" spans="8:10">
      <c r="H105" s="1" t="s">
        <v>864</v>
      </c>
      <c r="I105" s="1" t="s">
        <v>204</v>
      </c>
      <c r="J105" s="1">
        <v>2</v>
      </c>
    </row>
    <row r="106" spans="8:10">
      <c r="H106" s="1" t="s">
        <v>868</v>
      </c>
      <c r="I106" s="1" t="s">
        <v>201</v>
      </c>
      <c r="J106" s="1">
        <v>2</v>
      </c>
    </row>
    <row r="107" spans="8:10">
      <c r="H107" s="1" t="s">
        <v>794</v>
      </c>
      <c r="I107" s="1" t="s">
        <v>160</v>
      </c>
      <c r="J107" s="1">
        <v>2</v>
      </c>
    </row>
    <row r="108" spans="8:10">
      <c r="H108" s="1" t="s">
        <v>794</v>
      </c>
      <c r="I108" s="1" t="s">
        <v>135</v>
      </c>
      <c r="J108" s="1">
        <v>2</v>
      </c>
    </row>
    <row r="109" spans="8:10">
      <c r="H109" s="1" t="s">
        <v>855</v>
      </c>
      <c r="I109" s="1" t="s">
        <v>156</v>
      </c>
      <c r="J109" s="1">
        <v>2</v>
      </c>
    </row>
    <row r="110" spans="8:10">
      <c r="H110" s="1" t="s">
        <v>855</v>
      </c>
      <c r="I110" s="1" t="s">
        <v>199</v>
      </c>
      <c r="J110" s="1">
        <v>2</v>
      </c>
    </row>
    <row r="111" spans="8:10">
      <c r="H111" s="1" t="s">
        <v>891</v>
      </c>
      <c r="I111" s="1" t="s">
        <v>198</v>
      </c>
      <c r="J111" s="1">
        <v>2</v>
      </c>
    </row>
    <row r="112" spans="8:10">
      <c r="H112" s="1" t="s">
        <v>883</v>
      </c>
      <c r="I112" s="1" t="s">
        <v>181</v>
      </c>
      <c r="J112" s="1">
        <v>2</v>
      </c>
    </row>
    <row r="113" spans="8:10">
      <c r="H113" s="1" t="s">
        <v>778</v>
      </c>
      <c r="I113" s="1" t="s">
        <v>172</v>
      </c>
      <c r="J113" s="1">
        <v>2</v>
      </c>
    </row>
    <row r="114" spans="8:10">
      <c r="H114" s="1" t="s">
        <v>778</v>
      </c>
      <c r="I114" s="1" t="s">
        <v>139</v>
      </c>
      <c r="J114" s="1">
        <v>2</v>
      </c>
    </row>
    <row r="115" spans="8:10">
      <c r="H115" s="1" t="s">
        <v>778</v>
      </c>
      <c r="I115" s="1" t="s">
        <v>202</v>
      </c>
      <c r="J115" s="1">
        <v>2</v>
      </c>
    </row>
    <row r="116" spans="8:10">
      <c r="H116" s="1" t="s">
        <v>778</v>
      </c>
      <c r="I116" s="1" t="s">
        <v>135</v>
      </c>
      <c r="J116" s="1">
        <v>2</v>
      </c>
    </row>
    <row r="117" spans="8:10">
      <c r="H117" s="1" t="s">
        <v>778</v>
      </c>
      <c r="I117" s="1" t="s">
        <v>201</v>
      </c>
      <c r="J117" s="1">
        <v>2</v>
      </c>
    </row>
    <row r="118" spans="8:10">
      <c r="H118" s="1" t="s">
        <v>898</v>
      </c>
      <c r="I118" s="1" t="s">
        <v>198</v>
      </c>
      <c r="J118" s="1">
        <v>2</v>
      </c>
    </row>
    <row r="119" spans="8:10">
      <c r="H119" s="1" t="s">
        <v>898</v>
      </c>
      <c r="I119" s="1" t="s">
        <v>201</v>
      </c>
      <c r="J119" s="1">
        <v>2</v>
      </c>
    </row>
    <row r="120" spans="8:10">
      <c r="H120" s="1" t="s">
        <v>806</v>
      </c>
      <c r="I120" s="1" t="s">
        <v>160</v>
      </c>
      <c r="J120" s="1">
        <v>2</v>
      </c>
    </row>
    <row r="121" spans="8:10">
      <c r="H121" s="1" t="s">
        <v>914</v>
      </c>
      <c r="I121" s="1" t="s">
        <v>198</v>
      </c>
      <c r="J121" s="1">
        <v>2</v>
      </c>
    </row>
    <row r="122" spans="8:10">
      <c r="H122" s="1" t="s">
        <v>952</v>
      </c>
      <c r="I122" s="1" t="s">
        <v>199</v>
      </c>
      <c r="J122" s="1">
        <v>2</v>
      </c>
    </row>
    <row r="123" spans="8:10">
      <c r="H123" s="1" t="s">
        <v>837</v>
      </c>
      <c r="I123" s="1" t="s">
        <v>158</v>
      </c>
      <c r="J123" s="1">
        <v>2</v>
      </c>
    </row>
    <row r="124" spans="8:10">
      <c r="H124" s="1" t="s">
        <v>800</v>
      </c>
      <c r="I124" s="1" t="s">
        <v>187</v>
      </c>
      <c r="J124" s="1">
        <v>2</v>
      </c>
    </row>
    <row r="125" spans="8:10">
      <c r="H125" s="1" t="s">
        <v>800</v>
      </c>
      <c r="I125" s="1" t="s">
        <v>199</v>
      </c>
      <c r="J125" s="1">
        <v>2</v>
      </c>
    </row>
    <row r="126" spans="8:10">
      <c r="H126" s="1" t="s">
        <v>862</v>
      </c>
      <c r="I126" s="1" t="s">
        <v>173</v>
      </c>
      <c r="J126" s="1">
        <v>2</v>
      </c>
    </row>
    <row r="127" spans="8:10">
      <c r="H127" s="1" t="s">
        <v>843</v>
      </c>
      <c r="I127" s="1" t="s">
        <v>179</v>
      </c>
      <c r="J127" s="1">
        <v>2</v>
      </c>
    </row>
    <row r="128" spans="8:10">
      <c r="H128" s="1" t="s">
        <v>843</v>
      </c>
      <c r="I128" s="1" t="s">
        <v>150</v>
      </c>
      <c r="J128" s="1">
        <v>2</v>
      </c>
    </row>
    <row r="129" spans="8:10">
      <c r="H129" s="1" t="s">
        <v>843</v>
      </c>
      <c r="I129" s="1" t="s">
        <v>203</v>
      </c>
      <c r="J129" s="1">
        <v>2</v>
      </c>
    </row>
    <row r="130" spans="8:10">
      <c r="H130" s="1" t="s">
        <v>922</v>
      </c>
      <c r="I130" s="1" t="s">
        <v>198</v>
      </c>
      <c r="J130" s="1">
        <v>2</v>
      </c>
    </row>
    <row r="131" spans="8:10">
      <c r="H131" s="1" t="s">
        <v>922</v>
      </c>
      <c r="I131" s="1" t="s">
        <v>181</v>
      </c>
      <c r="J131" s="1">
        <v>2</v>
      </c>
    </row>
    <row r="132" spans="8:10">
      <c r="H132" s="1" t="s">
        <v>922</v>
      </c>
      <c r="I132" s="1" t="s">
        <v>135</v>
      </c>
      <c r="J132" s="1">
        <v>2</v>
      </c>
    </row>
    <row r="133" spans="8:10">
      <c r="H133" s="1" t="s">
        <v>819</v>
      </c>
      <c r="I133" s="1" t="s">
        <v>202</v>
      </c>
      <c r="J133" s="1">
        <v>2</v>
      </c>
    </row>
    <row r="134" spans="8:10">
      <c r="H134" s="1" t="s">
        <v>933</v>
      </c>
      <c r="I134" s="1" t="s">
        <v>153</v>
      </c>
      <c r="J134" s="1">
        <v>2</v>
      </c>
    </row>
    <row r="135" spans="8:10">
      <c r="H135" s="1" t="s">
        <v>933</v>
      </c>
      <c r="I135" s="1" t="s">
        <v>135</v>
      </c>
      <c r="J135" s="1">
        <v>2</v>
      </c>
    </row>
    <row r="136" spans="8:10">
      <c r="H136" s="1" t="s">
        <v>879</v>
      </c>
      <c r="I136" s="1" t="s">
        <v>153</v>
      </c>
      <c r="J136" s="1">
        <v>2</v>
      </c>
    </row>
    <row r="137" spans="8:10">
      <c r="H137" s="1" t="s">
        <v>847</v>
      </c>
      <c r="I137" s="1" t="s">
        <v>174</v>
      </c>
      <c r="J137" s="1">
        <v>2</v>
      </c>
    </row>
    <row r="138" spans="8:10">
      <c r="H138" s="1" t="s">
        <v>218</v>
      </c>
      <c r="I138" s="1" t="s">
        <v>152</v>
      </c>
      <c r="J138" s="1">
        <v>2</v>
      </c>
    </row>
    <row r="139" spans="8:10">
      <c r="H139" s="1" t="s">
        <v>218</v>
      </c>
      <c r="I139" s="1" t="s">
        <v>150</v>
      </c>
      <c r="J139" s="1">
        <v>2</v>
      </c>
    </row>
    <row r="140" spans="8:10">
      <c r="H140" s="1" t="s">
        <v>786</v>
      </c>
      <c r="I140" s="1" t="s">
        <v>163</v>
      </c>
      <c r="J140" s="1">
        <v>2</v>
      </c>
    </row>
    <row r="141" spans="8:10">
      <c r="H141" s="1" t="s">
        <v>786</v>
      </c>
      <c r="I141" s="1" t="s">
        <v>162</v>
      </c>
      <c r="J141" s="1">
        <v>2</v>
      </c>
    </row>
    <row r="142" spans="8:10">
      <c r="H142" s="1" t="s">
        <v>786</v>
      </c>
      <c r="I142" s="1" t="s">
        <v>135</v>
      </c>
      <c r="J142" s="1">
        <v>2</v>
      </c>
    </row>
    <row r="143" spans="8:10">
      <c r="H143" s="1" t="s">
        <v>786</v>
      </c>
      <c r="I143" s="1" t="s">
        <v>133</v>
      </c>
      <c r="J143" s="1">
        <v>2</v>
      </c>
    </row>
    <row r="144" spans="8:10">
      <c r="H144" s="1" t="s">
        <v>786</v>
      </c>
      <c r="I144" s="1" t="s">
        <v>131</v>
      </c>
      <c r="J144" s="1">
        <v>2</v>
      </c>
    </row>
    <row r="145" spans="8:10">
      <c r="H145" s="1" t="s">
        <v>889</v>
      </c>
      <c r="I145" s="1" t="s">
        <v>179</v>
      </c>
      <c r="J145" s="1">
        <v>2</v>
      </c>
    </row>
    <row r="146" spans="8:10">
      <c r="H146" s="1" t="s">
        <v>889</v>
      </c>
      <c r="I146" s="1" t="s">
        <v>153</v>
      </c>
      <c r="J146" s="1">
        <v>2</v>
      </c>
    </row>
    <row r="147" spans="8:10">
      <c r="H147" s="1" t="s">
        <v>954</v>
      </c>
      <c r="I147" s="1" t="s">
        <v>150</v>
      </c>
      <c r="J147" s="1">
        <v>2</v>
      </c>
    </row>
    <row r="148" spans="8:10">
      <c r="H148" s="1" t="s">
        <v>789</v>
      </c>
      <c r="I148" s="1" t="s">
        <v>187</v>
      </c>
      <c r="J148" s="1">
        <v>2</v>
      </c>
    </row>
    <row r="149" spans="8:10">
      <c r="H149" s="1" t="s">
        <v>899</v>
      </c>
      <c r="I149" s="1" t="s">
        <v>198</v>
      </c>
      <c r="J149" s="1">
        <v>2</v>
      </c>
    </row>
    <row r="150" spans="8:10">
      <c r="H150" s="1" t="s">
        <v>859</v>
      </c>
      <c r="I150" s="1" t="s">
        <v>148</v>
      </c>
      <c r="J150" s="1">
        <v>2</v>
      </c>
    </row>
    <row r="151" spans="8:10">
      <c r="H151" s="1" t="s">
        <v>859</v>
      </c>
      <c r="I151" s="1" t="s">
        <v>181</v>
      </c>
      <c r="J151" s="1">
        <v>2</v>
      </c>
    </row>
    <row r="152" spans="8:10">
      <c r="H152" s="1" t="s">
        <v>905</v>
      </c>
      <c r="I152" s="1" t="s">
        <v>194</v>
      </c>
      <c r="J152" s="1">
        <v>2</v>
      </c>
    </row>
    <row r="153" spans="8:10">
      <c r="H153" s="1" t="s">
        <v>905</v>
      </c>
      <c r="I153" s="1" t="s">
        <v>185</v>
      </c>
      <c r="J153" s="1">
        <v>2</v>
      </c>
    </row>
    <row r="154" spans="8:10">
      <c r="H154" s="1" t="s">
        <v>938</v>
      </c>
      <c r="I154" s="1" t="s">
        <v>187</v>
      </c>
      <c r="J154" s="1">
        <v>2</v>
      </c>
    </row>
    <row r="155" spans="8:10">
      <c r="H155" s="1" t="s">
        <v>776</v>
      </c>
      <c r="I155" s="1" t="s">
        <v>139</v>
      </c>
      <c r="J155" s="1">
        <v>2</v>
      </c>
    </row>
    <row r="156" spans="8:10">
      <c r="H156" s="1" t="s">
        <v>776</v>
      </c>
      <c r="I156" s="1" t="s">
        <v>137</v>
      </c>
      <c r="J156" s="1">
        <v>2</v>
      </c>
    </row>
    <row r="157" spans="8:10">
      <c r="H157" s="1" t="s">
        <v>776</v>
      </c>
      <c r="I157" s="1" t="s">
        <v>135</v>
      </c>
      <c r="J157" s="1">
        <v>2</v>
      </c>
    </row>
    <row r="158" spans="8:10">
      <c r="H158" s="1" t="s">
        <v>927</v>
      </c>
      <c r="I158" s="1" t="s">
        <v>135</v>
      </c>
      <c r="J158" s="1">
        <v>2</v>
      </c>
    </row>
    <row r="159" spans="8:10">
      <c r="H159" s="1" t="s">
        <v>804</v>
      </c>
      <c r="I159" s="1" t="s">
        <v>172</v>
      </c>
      <c r="J159" s="1">
        <v>2</v>
      </c>
    </row>
    <row r="160" spans="8:10">
      <c r="H160" s="1" t="s">
        <v>804</v>
      </c>
      <c r="I160" s="1" t="s">
        <v>144</v>
      </c>
      <c r="J160" s="1">
        <v>2</v>
      </c>
    </row>
    <row r="161" spans="8:10">
      <c r="H161" s="1" t="s">
        <v>881</v>
      </c>
      <c r="I161" s="1" t="s">
        <v>196</v>
      </c>
      <c r="J161" s="1">
        <v>2</v>
      </c>
    </row>
    <row r="162" spans="8:10">
      <c r="H162" s="1" t="s">
        <v>881</v>
      </c>
      <c r="I162" s="1" t="s">
        <v>197</v>
      </c>
      <c r="J162" s="1">
        <v>2</v>
      </c>
    </row>
    <row r="163" spans="8:10">
      <c r="H163" s="1" t="s">
        <v>955</v>
      </c>
      <c r="I163" s="1" t="s">
        <v>197</v>
      </c>
      <c r="J163" s="1">
        <v>2</v>
      </c>
    </row>
    <row r="164" spans="8:10">
      <c r="H164" s="1" t="s">
        <v>895</v>
      </c>
      <c r="I164" s="1" t="s">
        <v>139</v>
      </c>
      <c r="J164" s="1">
        <v>2</v>
      </c>
    </row>
    <row r="165" spans="8:10">
      <c r="H165" s="1" t="s">
        <v>895</v>
      </c>
      <c r="I165" s="1" t="s">
        <v>196</v>
      </c>
      <c r="J165" s="1">
        <v>2</v>
      </c>
    </row>
    <row r="166" spans="8:10">
      <c r="H166" s="1" t="s">
        <v>895</v>
      </c>
      <c r="I166" s="1" t="s">
        <v>200</v>
      </c>
      <c r="J166" s="1">
        <v>2</v>
      </c>
    </row>
    <row r="167" spans="8:10">
      <c r="H167" s="1" t="s">
        <v>856</v>
      </c>
      <c r="I167" s="1" t="s">
        <v>199</v>
      </c>
      <c r="J167" s="1">
        <v>2</v>
      </c>
    </row>
    <row r="168" spans="8:10">
      <c r="H168" s="1" t="s">
        <v>856</v>
      </c>
      <c r="I168" s="1" t="s">
        <v>204</v>
      </c>
      <c r="J168" s="1">
        <v>2</v>
      </c>
    </row>
    <row r="169" spans="8:10">
      <c r="H169" s="1" t="s">
        <v>947</v>
      </c>
      <c r="I169" s="1" t="s">
        <v>172</v>
      </c>
      <c r="J169" s="1">
        <v>2</v>
      </c>
    </row>
    <row r="170" spans="8:10">
      <c r="H170" s="1" t="s">
        <v>947</v>
      </c>
      <c r="I170" s="1" t="s">
        <v>198</v>
      </c>
      <c r="J170" s="1">
        <v>2</v>
      </c>
    </row>
    <row r="171" spans="8:10">
      <c r="H171" s="1" t="s">
        <v>908</v>
      </c>
      <c r="I171" s="1" t="s">
        <v>204</v>
      </c>
      <c r="J171" s="1">
        <v>2</v>
      </c>
    </row>
    <row r="172" spans="8:10">
      <c r="H172" s="1" t="s">
        <v>902</v>
      </c>
      <c r="I172" s="1" t="s">
        <v>179</v>
      </c>
      <c r="J172" s="1">
        <v>2</v>
      </c>
    </row>
    <row r="173" spans="8:10">
      <c r="H173" s="1" t="s">
        <v>894</v>
      </c>
      <c r="I173" s="1" t="s">
        <v>190</v>
      </c>
      <c r="J173" s="1">
        <v>2</v>
      </c>
    </row>
    <row r="174" spans="8:10">
      <c r="H174" s="1" t="s">
        <v>894</v>
      </c>
      <c r="I174" s="1" t="s">
        <v>196</v>
      </c>
      <c r="J174" s="1">
        <v>2</v>
      </c>
    </row>
    <row r="175" spans="8:10">
      <c r="H175" s="1" t="s">
        <v>894</v>
      </c>
      <c r="I175" s="1" t="s">
        <v>199</v>
      </c>
      <c r="J175" s="1">
        <v>2</v>
      </c>
    </row>
    <row r="176" spans="8:10">
      <c r="H176" s="1" t="s">
        <v>893</v>
      </c>
      <c r="I176" s="1" t="s">
        <v>181</v>
      </c>
      <c r="J176" s="1">
        <v>2</v>
      </c>
    </row>
    <row r="177" spans="8:10">
      <c r="H177" s="1" t="s">
        <v>893</v>
      </c>
      <c r="I177" s="1" t="s">
        <v>160</v>
      </c>
      <c r="J177" s="1">
        <v>2</v>
      </c>
    </row>
    <row r="178" spans="8:10">
      <c r="H178" s="1" t="s">
        <v>893</v>
      </c>
      <c r="I178" s="1" t="s">
        <v>203</v>
      </c>
      <c r="J178" s="1">
        <v>2</v>
      </c>
    </row>
    <row r="179" spans="8:10">
      <c r="H179" s="1" t="s">
        <v>888</v>
      </c>
      <c r="I179" s="1" t="s">
        <v>197</v>
      </c>
      <c r="J179" s="1">
        <v>2</v>
      </c>
    </row>
    <row r="180" spans="8:10">
      <c r="H180" s="1" t="s">
        <v>783</v>
      </c>
      <c r="I180" s="1" t="s">
        <v>139</v>
      </c>
      <c r="J180" s="1">
        <v>2</v>
      </c>
    </row>
    <row r="181" spans="8:10">
      <c r="H181" s="1" t="s">
        <v>783</v>
      </c>
      <c r="I181" s="1" t="s">
        <v>174</v>
      </c>
      <c r="J181" s="1">
        <v>2</v>
      </c>
    </row>
    <row r="182" spans="8:10">
      <c r="H182" s="1" t="s">
        <v>876</v>
      </c>
      <c r="I182" s="1" t="s">
        <v>197</v>
      </c>
      <c r="J182" s="1">
        <v>2</v>
      </c>
    </row>
    <row r="183" spans="8:10">
      <c r="H183" s="1" t="s">
        <v>876</v>
      </c>
      <c r="I183" s="1" t="s">
        <v>131</v>
      </c>
      <c r="J183" s="1">
        <v>2</v>
      </c>
    </row>
    <row r="184" spans="8:10">
      <c r="H184" s="1" t="s">
        <v>790</v>
      </c>
      <c r="I184" s="1" t="s">
        <v>199</v>
      </c>
      <c r="J184" s="1">
        <v>2</v>
      </c>
    </row>
    <row r="185" spans="8:10">
      <c r="H185" s="1" t="s">
        <v>790</v>
      </c>
      <c r="I185" s="1" t="s">
        <v>135</v>
      </c>
      <c r="J185" s="1">
        <v>2</v>
      </c>
    </row>
    <row r="186" spans="8:10">
      <c r="H186" s="1" t="s">
        <v>935</v>
      </c>
      <c r="I186" s="1" t="s">
        <v>198</v>
      </c>
      <c r="J186" s="1">
        <v>2</v>
      </c>
    </row>
    <row r="187" spans="8:10">
      <c r="H187" s="1" t="s">
        <v>928</v>
      </c>
      <c r="I187" s="1" t="s">
        <v>198</v>
      </c>
      <c r="J187" s="1">
        <v>2</v>
      </c>
    </row>
    <row r="188" spans="8:10">
      <c r="H188" s="1" t="s">
        <v>900</v>
      </c>
      <c r="I188" s="1" t="s">
        <v>160</v>
      </c>
      <c r="J188" s="1">
        <v>2</v>
      </c>
    </row>
    <row r="189" spans="8:10">
      <c r="H189" s="1" t="s">
        <v>900</v>
      </c>
      <c r="I189" s="1" t="s">
        <v>153</v>
      </c>
      <c r="J189" s="1">
        <v>2</v>
      </c>
    </row>
    <row r="190" spans="8:10">
      <c r="H190" s="1" t="s">
        <v>920</v>
      </c>
      <c r="I190" s="1" t="s">
        <v>198</v>
      </c>
      <c r="J190" s="1">
        <v>2</v>
      </c>
    </row>
    <row r="191" spans="8:10">
      <c r="H191" s="1" t="s">
        <v>852</v>
      </c>
      <c r="I191" s="1" t="s">
        <v>170</v>
      </c>
      <c r="J191" s="1">
        <v>2</v>
      </c>
    </row>
    <row r="192" spans="8:10">
      <c r="H192" s="1" t="s">
        <v>852</v>
      </c>
      <c r="I192" s="1" t="s">
        <v>201</v>
      </c>
      <c r="J192" s="1">
        <v>2</v>
      </c>
    </row>
    <row r="193" spans="8:10">
      <c r="H193" s="1" t="s">
        <v>809</v>
      </c>
      <c r="I193" s="1" t="s">
        <v>148</v>
      </c>
      <c r="J193" s="1">
        <v>2</v>
      </c>
    </row>
    <row r="194" spans="8:10">
      <c r="H194" s="1" t="s">
        <v>809</v>
      </c>
      <c r="I194" s="1" t="s">
        <v>162</v>
      </c>
      <c r="J194" s="1">
        <v>2</v>
      </c>
    </row>
    <row r="195" spans="8:10">
      <c r="H195" s="1" t="s">
        <v>828</v>
      </c>
      <c r="I195" s="1" t="s">
        <v>160</v>
      </c>
      <c r="J195" s="1">
        <v>2</v>
      </c>
    </row>
    <row r="196" spans="8:10">
      <c r="H196" s="1" t="s">
        <v>828</v>
      </c>
      <c r="I196" s="1" t="s">
        <v>135</v>
      </c>
      <c r="J196" s="1">
        <v>2</v>
      </c>
    </row>
    <row r="197" spans="8:10">
      <c r="H197" s="1" t="s">
        <v>897</v>
      </c>
      <c r="I197" s="1" t="s">
        <v>198</v>
      </c>
      <c r="J197" s="1">
        <v>2</v>
      </c>
    </row>
    <row r="198" spans="8:10">
      <c r="H198" s="1" t="s">
        <v>897</v>
      </c>
      <c r="I198" s="1" t="s">
        <v>156</v>
      </c>
      <c r="J198" s="1">
        <v>2</v>
      </c>
    </row>
    <row r="199" spans="8:10">
      <c r="H199" s="1" t="s">
        <v>897</v>
      </c>
      <c r="I199" s="1" t="s">
        <v>204</v>
      </c>
      <c r="J199" s="1">
        <v>2</v>
      </c>
    </row>
    <row r="200" spans="8:10">
      <c r="H200" s="1" t="s">
        <v>887</v>
      </c>
      <c r="I200" s="1" t="s">
        <v>156</v>
      </c>
      <c r="J200" s="1">
        <v>2</v>
      </c>
    </row>
    <row r="201" spans="8:10">
      <c r="H201" s="1" t="s">
        <v>887</v>
      </c>
      <c r="I201" s="1" t="s">
        <v>160</v>
      </c>
      <c r="J201" s="1">
        <v>2</v>
      </c>
    </row>
    <row r="202" spans="8:10">
      <c r="H202" s="1" t="s">
        <v>887</v>
      </c>
      <c r="I202" s="1" t="s">
        <v>167</v>
      </c>
      <c r="J202" s="1">
        <v>2</v>
      </c>
    </row>
    <row r="203" spans="8:10">
      <c r="H203" s="1" t="s">
        <v>887</v>
      </c>
      <c r="I203" s="1" t="s">
        <v>161</v>
      </c>
      <c r="J203" s="1">
        <v>2</v>
      </c>
    </row>
    <row r="204" spans="8:10">
      <c r="H204" s="1" t="s">
        <v>810</v>
      </c>
      <c r="I204" s="1" t="s">
        <v>172</v>
      </c>
      <c r="J204" s="1">
        <v>2</v>
      </c>
    </row>
    <row r="205" spans="8:10">
      <c r="H205" s="1" t="s">
        <v>808</v>
      </c>
      <c r="I205" s="1" t="s">
        <v>198</v>
      </c>
      <c r="J205" s="1">
        <v>2</v>
      </c>
    </row>
    <row r="206" spans="8:10">
      <c r="H206" s="1" t="s">
        <v>781</v>
      </c>
      <c r="I206" s="1" t="s">
        <v>151</v>
      </c>
      <c r="J206" s="1">
        <v>2</v>
      </c>
    </row>
    <row r="207" spans="8:10">
      <c r="H207" s="1" t="s">
        <v>223</v>
      </c>
      <c r="I207" s="1" t="s">
        <v>158</v>
      </c>
      <c r="J207" s="1">
        <v>2</v>
      </c>
    </row>
    <row r="208" spans="8:10">
      <c r="H208" s="1" t="s">
        <v>223</v>
      </c>
      <c r="I208" s="1" t="s">
        <v>189</v>
      </c>
      <c r="J208" s="1">
        <v>2</v>
      </c>
    </row>
    <row r="209" spans="8:10">
      <c r="H209" s="1" t="s">
        <v>223</v>
      </c>
      <c r="I209" s="1" t="s">
        <v>139</v>
      </c>
      <c r="J209" s="1">
        <v>2</v>
      </c>
    </row>
    <row r="210" spans="8:10">
      <c r="H210" s="1" t="s">
        <v>223</v>
      </c>
      <c r="I210" s="1" t="s">
        <v>200</v>
      </c>
      <c r="J210" s="1">
        <v>2</v>
      </c>
    </row>
    <row r="211" spans="8:10">
      <c r="H211" s="1" t="s">
        <v>223</v>
      </c>
      <c r="I211" s="1" t="s">
        <v>185</v>
      </c>
      <c r="J211" s="1">
        <v>2</v>
      </c>
    </row>
    <row r="212" spans="8:10">
      <c r="H212" s="1" t="s">
        <v>939</v>
      </c>
      <c r="I212" s="1" t="s">
        <v>198</v>
      </c>
      <c r="J212" s="1">
        <v>2</v>
      </c>
    </row>
    <row r="213" spans="8:10">
      <c r="H213" s="1" t="s">
        <v>833</v>
      </c>
      <c r="I213" s="1" t="s">
        <v>190</v>
      </c>
      <c r="J213" s="1">
        <v>2</v>
      </c>
    </row>
    <row r="214" spans="8:10">
      <c r="H214" s="1" t="s">
        <v>833</v>
      </c>
      <c r="I214" s="1" t="s">
        <v>144</v>
      </c>
      <c r="J214" s="1">
        <v>2</v>
      </c>
    </row>
    <row r="215" spans="8:10">
      <c r="H215" s="1" t="s">
        <v>833</v>
      </c>
      <c r="I215" s="1" t="s">
        <v>166</v>
      </c>
      <c r="J215" s="1">
        <v>2</v>
      </c>
    </row>
    <row r="216" spans="8:10">
      <c r="H216" s="1" t="s">
        <v>833</v>
      </c>
      <c r="I216" s="1" t="s">
        <v>169</v>
      </c>
      <c r="J216" s="1">
        <v>2</v>
      </c>
    </row>
    <row r="217" spans="8:10">
      <c r="H217" s="1" t="s">
        <v>833</v>
      </c>
      <c r="I217" s="1" t="s">
        <v>150</v>
      </c>
      <c r="J217" s="1">
        <v>2</v>
      </c>
    </row>
    <row r="218" spans="8:10">
      <c r="H218" s="1" t="s">
        <v>224</v>
      </c>
      <c r="I218" s="1" t="s">
        <v>163</v>
      </c>
      <c r="J218" s="1">
        <v>2</v>
      </c>
    </row>
    <row r="219" spans="8:10">
      <c r="H219" s="1" t="s">
        <v>224</v>
      </c>
      <c r="I219" s="1" t="s">
        <v>139</v>
      </c>
      <c r="J219" s="1">
        <v>2</v>
      </c>
    </row>
    <row r="220" spans="8:10">
      <c r="H220" s="1" t="s">
        <v>224</v>
      </c>
      <c r="I220" s="1" t="s">
        <v>162</v>
      </c>
      <c r="J220" s="1">
        <v>2</v>
      </c>
    </row>
    <row r="221" spans="8:10">
      <c r="H221" s="1" t="s">
        <v>224</v>
      </c>
      <c r="I221" s="1" t="s">
        <v>169</v>
      </c>
      <c r="J221" s="1">
        <v>2</v>
      </c>
    </row>
    <row r="222" spans="8:10">
      <c r="H222" s="1" t="s">
        <v>224</v>
      </c>
      <c r="I222" s="1" t="s">
        <v>203</v>
      </c>
      <c r="J222" s="1">
        <v>2</v>
      </c>
    </row>
    <row r="223" spans="8:10">
      <c r="H223" s="1" t="s">
        <v>890</v>
      </c>
      <c r="I223" s="1" t="s">
        <v>198</v>
      </c>
      <c r="J223" s="1">
        <v>2</v>
      </c>
    </row>
    <row r="224" spans="8:10">
      <c r="H224" s="1" t="s">
        <v>942</v>
      </c>
      <c r="I224" s="1" t="s">
        <v>198</v>
      </c>
      <c r="J224" s="1">
        <v>2</v>
      </c>
    </row>
    <row r="225" spans="8:10">
      <c r="H225" s="1" t="s">
        <v>878</v>
      </c>
      <c r="I225" s="1" t="s">
        <v>203</v>
      </c>
      <c r="J225" s="1">
        <v>2</v>
      </c>
    </row>
    <row r="226" spans="8:10">
      <c r="H226" s="1" t="s">
        <v>943</v>
      </c>
      <c r="I226" s="1" t="s">
        <v>198</v>
      </c>
      <c r="J226" s="1">
        <v>2</v>
      </c>
    </row>
    <row r="227" spans="8:10">
      <c r="H227" s="1" t="s">
        <v>943</v>
      </c>
      <c r="I227" s="1" t="s">
        <v>181</v>
      </c>
      <c r="J227" s="1">
        <v>2</v>
      </c>
    </row>
    <row r="228" spans="8:10">
      <c r="H228" s="1" t="s">
        <v>885</v>
      </c>
      <c r="I228" s="1" t="s">
        <v>153</v>
      </c>
      <c r="J228" s="1">
        <v>2</v>
      </c>
    </row>
    <row r="229" spans="8:10">
      <c r="H229" s="1" t="s">
        <v>220</v>
      </c>
      <c r="I229" s="1" t="s">
        <v>176</v>
      </c>
      <c r="J229" s="1">
        <v>2</v>
      </c>
    </row>
    <row r="230" spans="8:10">
      <c r="H230" s="1" t="s">
        <v>860</v>
      </c>
      <c r="I230" s="1" t="s">
        <v>159</v>
      </c>
      <c r="J230" s="1">
        <v>2</v>
      </c>
    </row>
    <row r="231" spans="8:10">
      <c r="H231" s="1" t="s">
        <v>860</v>
      </c>
      <c r="I231" s="1" t="s">
        <v>153</v>
      </c>
      <c r="J231" s="1">
        <v>2</v>
      </c>
    </row>
    <row r="232" spans="8:10">
      <c r="H232" s="1" t="s">
        <v>860</v>
      </c>
      <c r="I232" s="1" t="s">
        <v>173</v>
      </c>
      <c r="J232" s="1">
        <v>2</v>
      </c>
    </row>
    <row r="233" spans="8:10">
      <c r="H233" s="1" t="s">
        <v>860</v>
      </c>
      <c r="I233" s="1" t="s">
        <v>133</v>
      </c>
      <c r="J233" s="1">
        <v>2</v>
      </c>
    </row>
    <row r="234" spans="8:10">
      <c r="H234" s="1" t="s">
        <v>860</v>
      </c>
      <c r="I234" s="1" t="s">
        <v>195</v>
      </c>
      <c r="J234" s="1">
        <v>2</v>
      </c>
    </row>
    <row r="235" spans="8:10">
      <c r="H235" s="1" t="s">
        <v>817</v>
      </c>
      <c r="I235" s="1" t="s">
        <v>144</v>
      </c>
      <c r="J235" s="1">
        <v>2</v>
      </c>
    </row>
    <row r="236" spans="8:10">
      <c r="H236" s="1" t="s">
        <v>817</v>
      </c>
      <c r="I236" s="1" t="s">
        <v>154</v>
      </c>
      <c r="J236" s="1">
        <v>2</v>
      </c>
    </row>
    <row r="237" spans="8:10">
      <c r="H237" s="1" t="s">
        <v>817</v>
      </c>
      <c r="I237" s="1" t="s">
        <v>151</v>
      </c>
      <c r="J237" s="1">
        <v>2</v>
      </c>
    </row>
    <row r="238" spans="8:10">
      <c r="H238" s="1" t="s">
        <v>222</v>
      </c>
      <c r="I238" s="1" t="s">
        <v>131</v>
      </c>
      <c r="J238" s="1">
        <v>2</v>
      </c>
    </row>
    <row r="239" spans="8:10">
      <c r="H239" s="1" t="s">
        <v>877</v>
      </c>
      <c r="I239" s="1" t="s">
        <v>200</v>
      </c>
      <c r="J239" s="1">
        <v>2</v>
      </c>
    </row>
    <row r="240" spans="8:10">
      <c r="H240" s="1" t="s">
        <v>926</v>
      </c>
      <c r="I240" s="1" t="s">
        <v>198</v>
      </c>
      <c r="J240" s="1">
        <v>2</v>
      </c>
    </row>
    <row r="241" spans="8:10">
      <c r="H241" s="1" t="s">
        <v>926</v>
      </c>
      <c r="I241" s="1" t="s">
        <v>135</v>
      </c>
      <c r="J241" s="1">
        <v>2</v>
      </c>
    </row>
    <row r="242" spans="8:10">
      <c r="H242" s="1" t="s">
        <v>831</v>
      </c>
      <c r="I242" s="1" t="s">
        <v>164</v>
      </c>
      <c r="J242" s="1">
        <v>2</v>
      </c>
    </row>
    <row r="243" spans="8:10">
      <c r="H243" s="1" t="s">
        <v>831</v>
      </c>
      <c r="I243" s="1" t="s">
        <v>150</v>
      </c>
      <c r="J243" s="1">
        <v>2</v>
      </c>
    </row>
    <row r="244" spans="8:10">
      <c r="H244" s="1" t="s">
        <v>831</v>
      </c>
      <c r="I244" s="1" t="s">
        <v>201</v>
      </c>
      <c r="J244" s="1">
        <v>2</v>
      </c>
    </row>
    <row r="245" spans="8:10">
      <c r="H245" s="1" t="s">
        <v>841</v>
      </c>
      <c r="I245" s="1" t="s">
        <v>158</v>
      </c>
      <c r="J245" s="1">
        <v>2</v>
      </c>
    </row>
    <row r="246" spans="8:10">
      <c r="H246" s="1" t="s">
        <v>841</v>
      </c>
      <c r="I246" s="1" t="s">
        <v>198</v>
      </c>
      <c r="J246" s="1">
        <v>2</v>
      </c>
    </row>
    <row r="247" spans="8:10">
      <c r="H247" s="1" t="s">
        <v>841</v>
      </c>
      <c r="I247" s="1" t="s">
        <v>153</v>
      </c>
      <c r="J247" s="1">
        <v>2</v>
      </c>
    </row>
    <row r="248" spans="8:10">
      <c r="H248" s="1" t="s">
        <v>948</v>
      </c>
      <c r="I248" s="1" t="s">
        <v>135</v>
      </c>
      <c r="J248" s="1">
        <v>1</v>
      </c>
    </row>
    <row r="249" spans="8:10">
      <c r="H249" s="1" t="s">
        <v>907</v>
      </c>
      <c r="I249" s="1" t="s">
        <v>198</v>
      </c>
      <c r="J249" s="1">
        <v>1</v>
      </c>
    </row>
    <row r="250" spans="8:10">
      <c r="H250" s="1" t="s">
        <v>907</v>
      </c>
      <c r="I250" s="1" t="s">
        <v>153</v>
      </c>
      <c r="J250" s="1">
        <v>1</v>
      </c>
    </row>
    <row r="251" spans="8:10">
      <c r="H251" s="1" t="s">
        <v>871</v>
      </c>
      <c r="I251" s="1" t="s">
        <v>194</v>
      </c>
      <c r="J251" s="1">
        <v>1</v>
      </c>
    </row>
    <row r="252" spans="8:10">
      <c r="H252" s="1" t="s">
        <v>871</v>
      </c>
      <c r="I252" s="1" t="s">
        <v>153</v>
      </c>
      <c r="J252" s="1">
        <v>1</v>
      </c>
    </row>
    <row r="253" spans="8:10">
      <c r="H253" s="1" t="s">
        <v>871</v>
      </c>
      <c r="I253" s="1" t="s">
        <v>197</v>
      </c>
      <c r="J253" s="1">
        <v>1</v>
      </c>
    </row>
    <row r="254" spans="8:10">
      <c r="H254" s="1" t="s">
        <v>871</v>
      </c>
      <c r="I254" s="1" t="s">
        <v>135</v>
      </c>
      <c r="J254" s="1">
        <v>1</v>
      </c>
    </row>
    <row r="255" spans="8:10">
      <c r="H255" s="1" t="s">
        <v>871</v>
      </c>
      <c r="I255" s="1" t="s">
        <v>203</v>
      </c>
      <c r="J255" s="1">
        <v>1</v>
      </c>
    </row>
    <row r="256" spans="8:10">
      <c r="H256" s="1" t="s">
        <v>875</v>
      </c>
      <c r="I256" s="1" t="s">
        <v>181</v>
      </c>
      <c r="J256" s="1">
        <v>1</v>
      </c>
    </row>
    <row r="257" spans="8:10">
      <c r="H257" s="1" t="s">
        <v>875</v>
      </c>
      <c r="I257" s="1" t="s">
        <v>197</v>
      </c>
      <c r="J257" s="1">
        <v>1</v>
      </c>
    </row>
    <row r="258" spans="8:10">
      <c r="H258" s="1" t="s">
        <v>821</v>
      </c>
      <c r="I258" s="1" t="s">
        <v>198</v>
      </c>
      <c r="J258" s="1">
        <v>1</v>
      </c>
    </row>
    <row r="259" spans="8:10">
      <c r="H259" s="1" t="s">
        <v>821</v>
      </c>
      <c r="I259" s="1" t="s">
        <v>181</v>
      </c>
      <c r="J259" s="1">
        <v>1</v>
      </c>
    </row>
    <row r="260" spans="8:10">
      <c r="H260" s="1" t="s">
        <v>821</v>
      </c>
      <c r="I260" s="1" t="s">
        <v>201</v>
      </c>
      <c r="J260" s="1">
        <v>1</v>
      </c>
    </row>
    <row r="261" spans="8:10">
      <c r="H261" s="1" t="s">
        <v>851</v>
      </c>
      <c r="I261" s="1" t="s">
        <v>158</v>
      </c>
      <c r="J261" s="1">
        <v>1</v>
      </c>
    </row>
    <row r="262" spans="8:10">
      <c r="H262" s="1" t="s">
        <v>851</v>
      </c>
      <c r="I262" s="1" t="s">
        <v>163</v>
      </c>
      <c r="J262" s="1">
        <v>1</v>
      </c>
    </row>
    <row r="263" spans="8:10">
      <c r="H263" s="1" t="s">
        <v>851</v>
      </c>
      <c r="I263" s="1" t="s">
        <v>137</v>
      </c>
      <c r="J263" s="1">
        <v>1</v>
      </c>
    </row>
    <row r="264" spans="8:10">
      <c r="H264" s="1" t="s">
        <v>851</v>
      </c>
      <c r="I264" s="1" t="s">
        <v>133</v>
      </c>
      <c r="J264" s="1">
        <v>1</v>
      </c>
    </row>
    <row r="265" spans="8:10">
      <c r="H265" s="1" t="s">
        <v>798</v>
      </c>
      <c r="I265" s="1" t="s">
        <v>196</v>
      </c>
      <c r="J265" s="1">
        <v>1</v>
      </c>
    </row>
    <row r="266" spans="8:10">
      <c r="H266" s="1" t="s">
        <v>798</v>
      </c>
      <c r="I266" s="1" t="s">
        <v>179</v>
      </c>
      <c r="J266" s="1">
        <v>1</v>
      </c>
    </row>
    <row r="267" spans="8:10">
      <c r="H267" s="1" t="s">
        <v>798</v>
      </c>
      <c r="I267" s="1" t="s">
        <v>144</v>
      </c>
      <c r="J267" s="1">
        <v>1</v>
      </c>
    </row>
    <row r="268" spans="8:10">
      <c r="H268" s="1" t="s">
        <v>798</v>
      </c>
      <c r="I268" s="1" t="s">
        <v>200</v>
      </c>
      <c r="J268" s="1">
        <v>1</v>
      </c>
    </row>
    <row r="269" spans="8:10">
      <c r="H269" s="1" t="s">
        <v>798</v>
      </c>
      <c r="I269" s="1" t="s">
        <v>162</v>
      </c>
      <c r="J269" s="1">
        <v>1</v>
      </c>
    </row>
    <row r="270" spans="8:10">
      <c r="H270" s="1" t="s">
        <v>798</v>
      </c>
      <c r="I270" s="1" t="s">
        <v>131</v>
      </c>
      <c r="J270" s="1">
        <v>1</v>
      </c>
    </row>
    <row r="271" spans="8:10">
      <c r="H271" s="1" t="s">
        <v>854</v>
      </c>
      <c r="I271" s="1" t="s">
        <v>203</v>
      </c>
      <c r="J271" s="1">
        <v>1</v>
      </c>
    </row>
    <row r="272" spans="8:10">
      <c r="H272" s="1" t="s">
        <v>957</v>
      </c>
      <c r="I272" s="1" t="s">
        <v>198</v>
      </c>
      <c r="J272" s="1">
        <v>1</v>
      </c>
    </row>
    <row r="273" spans="8:10">
      <c r="H273" s="1" t="s">
        <v>865</v>
      </c>
      <c r="I273" s="1" t="s">
        <v>167</v>
      </c>
      <c r="J273" s="1">
        <v>1</v>
      </c>
    </row>
    <row r="274" spans="8:10">
      <c r="H274" s="1" t="s">
        <v>865</v>
      </c>
      <c r="I274" s="1" t="s">
        <v>196</v>
      </c>
      <c r="J274" s="1">
        <v>1</v>
      </c>
    </row>
    <row r="275" spans="8:10">
      <c r="H275" s="1" t="s">
        <v>865</v>
      </c>
      <c r="I275" s="1" t="s">
        <v>174</v>
      </c>
      <c r="J275" s="1">
        <v>1</v>
      </c>
    </row>
    <row r="276" spans="8:10">
      <c r="H276" s="1" t="s">
        <v>865</v>
      </c>
      <c r="I276" s="1" t="s">
        <v>173</v>
      </c>
      <c r="J276" s="1">
        <v>1</v>
      </c>
    </row>
    <row r="277" spans="8:10">
      <c r="H277" s="1" t="s">
        <v>865</v>
      </c>
      <c r="I277" s="1" t="s">
        <v>164</v>
      </c>
      <c r="J277" s="1">
        <v>1</v>
      </c>
    </row>
    <row r="278" spans="8:10">
      <c r="H278" s="1" t="s">
        <v>865</v>
      </c>
      <c r="I278" s="1" t="s">
        <v>133</v>
      </c>
      <c r="J278" s="1">
        <v>1</v>
      </c>
    </row>
    <row r="279" spans="8:10">
      <c r="H279" s="1" t="s">
        <v>864</v>
      </c>
      <c r="I279" s="1" t="s">
        <v>160</v>
      </c>
      <c r="J279" s="1">
        <v>1</v>
      </c>
    </row>
    <row r="280" spans="8:10">
      <c r="H280" s="1" t="s">
        <v>864</v>
      </c>
      <c r="I280" s="1" t="s">
        <v>164</v>
      </c>
      <c r="J280" s="1">
        <v>1</v>
      </c>
    </row>
    <row r="281" spans="8:10">
      <c r="H281" s="1" t="s">
        <v>958</v>
      </c>
      <c r="I281" s="1" t="s">
        <v>181</v>
      </c>
      <c r="J281" s="1">
        <v>1</v>
      </c>
    </row>
    <row r="282" spans="8:10">
      <c r="H282" s="1" t="s">
        <v>868</v>
      </c>
      <c r="I282" s="1" t="s">
        <v>198</v>
      </c>
      <c r="J282" s="1">
        <v>1</v>
      </c>
    </row>
    <row r="283" spans="8:10">
      <c r="H283" s="1" t="s">
        <v>946</v>
      </c>
      <c r="I283" s="1" t="s">
        <v>198</v>
      </c>
      <c r="J283" s="1">
        <v>1</v>
      </c>
    </row>
    <row r="284" spans="8:10">
      <c r="H284" s="1" t="s">
        <v>794</v>
      </c>
      <c r="I284" s="1" t="s">
        <v>173</v>
      </c>
      <c r="J284" s="1">
        <v>1</v>
      </c>
    </row>
    <row r="285" spans="8:10">
      <c r="H285" s="1" t="s">
        <v>794</v>
      </c>
      <c r="I285" s="1" t="s">
        <v>195</v>
      </c>
      <c r="J285" s="1">
        <v>1</v>
      </c>
    </row>
    <row r="286" spans="8:10">
      <c r="H286" s="1" t="s">
        <v>855</v>
      </c>
      <c r="I286" s="1" t="s">
        <v>167</v>
      </c>
      <c r="J286" s="1">
        <v>1</v>
      </c>
    </row>
    <row r="287" spans="8:10">
      <c r="H287" s="1" t="s">
        <v>855</v>
      </c>
      <c r="I287" s="1" t="s">
        <v>146</v>
      </c>
      <c r="J287" s="1">
        <v>1</v>
      </c>
    </row>
    <row r="288" spans="8:10">
      <c r="H288" s="1" t="s">
        <v>855</v>
      </c>
      <c r="I288" s="1" t="s">
        <v>201</v>
      </c>
      <c r="J288" s="1">
        <v>1</v>
      </c>
    </row>
    <row r="289" spans="8:10">
      <c r="H289" s="1" t="s">
        <v>883</v>
      </c>
      <c r="I289" s="1" t="s">
        <v>198</v>
      </c>
      <c r="J289" s="1">
        <v>1</v>
      </c>
    </row>
    <row r="290" spans="8:10">
      <c r="H290" s="1" t="s">
        <v>883</v>
      </c>
      <c r="I290" s="1" t="s">
        <v>203</v>
      </c>
      <c r="J290" s="1">
        <v>1</v>
      </c>
    </row>
    <row r="291" spans="8:10">
      <c r="H291" s="1" t="s">
        <v>778</v>
      </c>
      <c r="I291" s="1" t="s">
        <v>156</v>
      </c>
      <c r="J291" s="1">
        <v>1</v>
      </c>
    </row>
    <row r="292" spans="8:10">
      <c r="H292" s="1" t="s">
        <v>778</v>
      </c>
      <c r="I292" s="1" t="s">
        <v>191</v>
      </c>
      <c r="J292" s="1">
        <v>1</v>
      </c>
    </row>
    <row r="293" spans="8:10">
      <c r="H293" s="1" t="s">
        <v>778</v>
      </c>
      <c r="I293" s="1" t="s">
        <v>200</v>
      </c>
      <c r="J293" s="1">
        <v>1</v>
      </c>
    </row>
    <row r="294" spans="8:10">
      <c r="H294" s="1" t="s">
        <v>778</v>
      </c>
      <c r="I294" s="1" t="s">
        <v>154</v>
      </c>
      <c r="J294" s="1">
        <v>1</v>
      </c>
    </row>
    <row r="295" spans="8:10">
      <c r="H295" s="1" t="s">
        <v>778</v>
      </c>
      <c r="I295" s="1" t="s">
        <v>151</v>
      </c>
      <c r="J295" s="1">
        <v>1</v>
      </c>
    </row>
    <row r="296" spans="8:10">
      <c r="H296" s="1" t="s">
        <v>778</v>
      </c>
      <c r="I296" s="1" t="s">
        <v>131</v>
      </c>
      <c r="J296" s="1">
        <v>1</v>
      </c>
    </row>
    <row r="297" spans="8:10">
      <c r="H297" s="1" t="s">
        <v>898</v>
      </c>
      <c r="I297" s="1" t="s">
        <v>197</v>
      </c>
      <c r="J297" s="1">
        <v>1</v>
      </c>
    </row>
    <row r="298" spans="8:10">
      <c r="H298" s="1" t="s">
        <v>806</v>
      </c>
      <c r="I298" s="1" t="s">
        <v>191</v>
      </c>
      <c r="J298" s="1">
        <v>1</v>
      </c>
    </row>
    <row r="299" spans="8:10">
      <c r="H299" s="1" t="s">
        <v>806</v>
      </c>
      <c r="I299" s="1" t="s">
        <v>173</v>
      </c>
      <c r="J299" s="1">
        <v>1</v>
      </c>
    </row>
    <row r="300" spans="8:10">
      <c r="H300" s="1" t="s">
        <v>914</v>
      </c>
      <c r="I300" s="1" t="s">
        <v>153</v>
      </c>
      <c r="J300" s="1">
        <v>1</v>
      </c>
    </row>
    <row r="301" spans="8:10">
      <c r="H301" s="1" t="s">
        <v>914</v>
      </c>
      <c r="I301" s="1" t="s">
        <v>197</v>
      </c>
      <c r="J301" s="1">
        <v>1</v>
      </c>
    </row>
    <row r="302" spans="8:10">
      <c r="H302" s="1" t="s">
        <v>914</v>
      </c>
      <c r="I302" s="1" t="s">
        <v>135</v>
      </c>
      <c r="J302" s="1">
        <v>1</v>
      </c>
    </row>
    <row r="303" spans="8:10">
      <c r="H303" s="1" t="s">
        <v>914</v>
      </c>
      <c r="I303" s="1" t="s">
        <v>193</v>
      </c>
      <c r="J303" s="1">
        <v>1</v>
      </c>
    </row>
    <row r="304" spans="8:10">
      <c r="H304" s="1" t="s">
        <v>914</v>
      </c>
      <c r="I304" s="1" t="s">
        <v>204</v>
      </c>
      <c r="J304" s="1">
        <v>1</v>
      </c>
    </row>
    <row r="305" spans="8:10">
      <c r="H305" s="1" t="s">
        <v>837</v>
      </c>
      <c r="I305" s="1" t="s">
        <v>156</v>
      </c>
      <c r="J305" s="1">
        <v>1</v>
      </c>
    </row>
    <row r="306" spans="8:10">
      <c r="H306" s="1" t="s">
        <v>837</v>
      </c>
      <c r="I306" s="1" t="s">
        <v>181</v>
      </c>
      <c r="J306" s="1">
        <v>1</v>
      </c>
    </row>
    <row r="307" spans="8:10">
      <c r="H307" s="1" t="s">
        <v>837</v>
      </c>
      <c r="I307" s="1" t="s">
        <v>200</v>
      </c>
      <c r="J307" s="1">
        <v>1</v>
      </c>
    </row>
    <row r="308" spans="8:10">
      <c r="H308" s="1" t="s">
        <v>837</v>
      </c>
      <c r="I308" s="1" t="s">
        <v>199</v>
      </c>
      <c r="J308" s="1">
        <v>1</v>
      </c>
    </row>
    <row r="309" spans="8:10">
      <c r="H309" s="1" t="s">
        <v>837</v>
      </c>
      <c r="I309" s="1" t="s">
        <v>150</v>
      </c>
      <c r="J309" s="1">
        <v>1</v>
      </c>
    </row>
    <row r="310" spans="8:10">
      <c r="H310" s="1" t="s">
        <v>837</v>
      </c>
      <c r="I310" s="1" t="s">
        <v>155</v>
      </c>
      <c r="J310" s="1">
        <v>1</v>
      </c>
    </row>
    <row r="311" spans="8:10">
      <c r="H311" s="1" t="s">
        <v>837</v>
      </c>
      <c r="I311" s="1" t="s">
        <v>203</v>
      </c>
      <c r="J311" s="1">
        <v>1</v>
      </c>
    </row>
    <row r="312" spans="8:10">
      <c r="H312" s="1" t="s">
        <v>800</v>
      </c>
      <c r="I312" s="1" t="s">
        <v>196</v>
      </c>
      <c r="J312" s="1">
        <v>1</v>
      </c>
    </row>
    <row r="313" spans="8:10">
      <c r="H313" s="1" t="s">
        <v>960</v>
      </c>
      <c r="I313" s="1" t="s">
        <v>187</v>
      </c>
      <c r="J313" s="1">
        <v>1</v>
      </c>
    </row>
    <row r="314" spans="8:10">
      <c r="H314" s="1" t="s">
        <v>862</v>
      </c>
      <c r="I314" s="1" t="s">
        <v>158</v>
      </c>
      <c r="J314" s="1">
        <v>1</v>
      </c>
    </row>
    <row r="315" spans="8:10">
      <c r="H315" s="1" t="s">
        <v>862</v>
      </c>
      <c r="I315" s="1" t="s">
        <v>181</v>
      </c>
      <c r="J315" s="1">
        <v>1</v>
      </c>
    </row>
    <row r="316" spans="8:10">
      <c r="H316" s="1" t="s">
        <v>862</v>
      </c>
      <c r="I316" s="1" t="s">
        <v>196</v>
      </c>
      <c r="J316" s="1">
        <v>1</v>
      </c>
    </row>
    <row r="317" spans="8:10">
      <c r="H317" s="1" t="s">
        <v>862</v>
      </c>
      <c r="I317" s="1" t="s">
        <v>144</v>
      </c>
      <c r="J317" s="1">
        <v>1</v>
      </c>
    </row>
    <row r="318" spans="8:10">
      <c r="H318" s="1" t="s">
        <v>862</v>
      </c>
      <c r="I318" s="1" t="s">
        <v>153</v>
      </c>
      <c r="J318" s="1">
        <v>1</v>
      </c>
    </row>
    <row r="319" spans="8:10">
      <c r="H319" s="1" t="s">
        <v>862</v>
      </c>
      <c r="I319" s="1" t="s">
        <v>187</v>
      </c>
      <c r="J319" s="1">
        <v>1</v>
      </c>
    </row>
    <row r="320" spans="8:10">
      <c r="H320" s="1" t="s">
        <v>862</v>
      </c>
      <c r="I320" s="1" t="s">
        <v>137</v>
      </c>
      <c r="J320" s="1">
        <v>1</v>
      </c>
    </row>
    <row r="321" spans="8:10">
      <c r="H321" s="1" t="s">
        <v>862</v>
      </c>
      <c r="I321" s="1" t="s">
        <v>164</v>
      </c>
      <c r="J321" s="1">
        <v>1</v>
      </c>
    </row>
    <row r="322" spans="8:10">
      <c r="H322" s="1" t="s">
        <v>862</v>
      </c>
      <c r="I322" s="1" t="s">
        <v>131</v>
      </c>
      <c r="J322" s="1">
        <v>1</v>
      </c>
    </row>
    <row r="323" spans="8:10">
      <c r="H323" s="1" t="s">
        <v>853</v>
      </c>
      <c r="I323" s="1" t="s">
        <v>158</v>
      </c>
      <c r="J323" s="1">
        <v>1</v>
      </c>
    </row>
    <row r="324" spans="8:10">
      <c r="H324" s="1" t="s">
        <v>853</v>
      </c>
      <c r="I324" s="1" t="s">
        <v>179</v>
      </c>
      <c r="J324" s="1">
        <v>1</v>
      </c>
    </row>
    <row r="325" spans="8:10">
      <c r="H325" s="1" t="s">
        <v>853</v>
      </c>
      <c r="I325" s="1" t="s">
        <v>194</v>
      </c>
      <c r="J325" s="1">
        <v>1</v>
      </c>
    </row>
    <row r="326" spans="8:10">
      <c r="H326" s="1" t="s">
        <v>853</v>
      </c>
      <c r="I326" s="1" t="s">
        <v>202</v>
      </c>
      <c r="J326" s="1">
        <v>1</v>
      </c>
    </row>
    <row r="327" spans="8:10">
      <c r="H327" s="1" t="s">
        <v>853</v>
      </c>
      <c r="I327" s="1" t="s">
        <v>153</v>
      </c>
      <c r="J327" s="1">
        <v>1</v>
      </c>
    </row>
    <row r="328" spans="8:10">
      <c r="H328" s="1" t="s">
        <v>853</v>
      </c>
      <c r="I328" s="1" t="s">
        <v>199</v>
      </c>
      <c r="J328" s="1">
        <v>1</v>
      </c>
    </row>
    <row r="329" spans="8:10">
      <c r="H329" s="1" t="s">
        <v>843</v>
      </c>
      <c r="I329" s="1" t="s">
        <v>201</v>
      </c>
      <c r="J329" s="1">
        <v>1</v>
      </c>
    </row>
    <row r="330" spans="8:10">
      <c r="H330" s="1" t="s">
        <v>910</v>
      </c>
      <c r="I330" s="1" t="s">
        <v>198</v>
      </c>
      <c r="J330" s="1">
        <v>1</v>
      </c>
    </row>
    <row r="331" spans="8:10">
      <c r="H331" s="1" t="s">
        <v>819</v>
      </c>
      <c r="I331" s="1" t="s">
        <v>194</v>
      </c>
      <c r="J331" s="1">
        <v>1</v>
      </c>
    </row>
    <row r="332" spans="8:10">
      <c r="H332" s="1" t="s">
        <v>962</v>
      </c>
      <c r="I332" s="1" t="s">
        <v>198</v>
      </c>
      <c r="J332" s="1">
        <v>1</v>
      </c>
    </row>
    <row r="333" spans="8:10">
      <c r="H333" s="1" t="s">
        <v>933</v>
      </c>
      <c r="I333" s="1" t="s">
        <v>179</v>
      </c>
      <c r="J333" s="1">
        <v>1</v>
      </c>
    </row>
    <row r="334" spans="8:10">
      <c r="H334" s="1" t="s">
        <v>933</v>
      </c>
      <c r="I334" s="1" t="s">
        <v>202</v>
      </c>
      <c r="J334" s="1">
        <v>1</v>
      </c>
    </row>
    <row r="335" spans="8:10">
      <c r="H335" s="1" t="s">
        <v>911</v>
      </c>
      <c r="I335" s="1" t="s">
        <v>198</v>
      </c>
      <c r="J335" s="1">
        <v>1</v>
      </c>
    </row>
    <row r="336" spans="8:10">
      <c r="H336" s="1" t="s">
        <v>879</v>
      </c>
      <c r="I336" s="1" t="s">
        <v>181</v>
      </c>
      <c r="J336" s="1">
        <v>1</v>
      </c>
    </row>
    <row r="337" spans="8:10">
      <c r="H337" s="1" t="s">
        <v>879</v>
      </c>
      <c r="I337" s="1" t="s">
        <v>196</v>
      </c>
      <c r="J337" s="1">
        <v>1</v>
      </c>
    </row>
    <row r="338" spans="8:10">
      <c r="H338" s="1" t="s">
        <v>879</v>
      </c>
      <c r="I338" s="1" t="s">
        <v>202</v>
      </c>
      <c r="J338" s="1">
        <v>1</v>
      </c>
    </row>
    <row r="339" spans="8:10">
      <c r="H339" s="1" t="s">
        <v>879</v>
      </c>
      <c r="I339" s="1" t="s">
        <v>166</v>
      </c>
      <c r="J339" s="1">
        <v>1</v>
      </c>
    </row>
    <row r="340" spans="8:10">
      <c r="H340" s="1" t="s">
        <v>847</v>
      </c>
      <c r="I340" s="1" t="s">
        <v>158</v>
      </c>
      <c r="J340" s="1">
        <v>1</v>
      </c>
    </row>
    <row r="341" spans="8:10">
      <c r="H341" s="1" t="s">
        <v>218</v>
      </c>
      <c r="I341" s="1" t="s">
        <v>192</v>
      </c>
      <c r="J341" s="1">
        <v>1</v>
      </c>
    </row>
    <row r="342" spans="8:10">
      <c r="H342" s="1" t="s">
        <v>218</v>
      </c>
      <c r="I342" s="1" t="s">
        <v>179</v>
      </c>
      <c r="J342" s="1">
        <v>1</v>
      </c>
    </row>
    <row r="343" spans="8:10">
      <c r="H343" s="1" t="s">
        <v>218</v>
      </c>
      <c r="I343" s="1" t="s">
        <v>178</v>
      </c>
      <c r="J343" s="1">
        <v>1</v>
      </c>
    </row>
    <row r="344" spans="8:10">
      <c r="H344" s="1" t="s">
        <v>218</v>
      </c>
      <c r="I344" s="1" t="s">
        <v>146</v>
      </c>
      <c r="J344" s="1">
        <v>1</v>
      </c>
    </row>
    <row r="345" spans="8:10">
      <c r="H345" s="1" t="s">
        <v>218</v>
      </c>
      <c r="I345" s="1" t="s">
        <v>169</v>
      </c>
      <c r="J345" s="1">
        <v>1</v>
      </c>
    </row>
    <row r="346" spans="8:10">
      <c r="H346" s="1" t="s">
        <v>218</v>
      </c>
      <c r="I346" s="1" t="s">
        <v>164</v>
      </c>
      <c r="J346" s="1">
        <v>1</v>
      </c>
    </row>
    <row r="347" spans="8:10">
      <c r="H347" s="1" t="s">
        <v>941</v>
      </c>
      <c r="I347" s="1" t="s">
        <v>135</v>
      </c>
      <c r="J347" s="1">
        <v>1</v>
      </c>
    </row>
    <row r="348" spans="8:10">
      <c r="H348" s="1" t="s">
        <v>858</v>
      </c>
      <c r="I348" s="1" t="s">
        <v>190</v>
      </c>
      <c r="J348" s="1">
        <v>1</v>
      </c>
    </row>
    <row r="349" spans="8:10">
      <c r="H349" s="1" t="s">
        <v>858</v>
      </c>
      <c r="I349" s="1" t="s">
        <v>181</v>
      </c>
      <c r="J349" s="1">
        <v>1</v>
      </c>
    </row>
    <row r="350" spans="8:10">
      <c r="H350" s="1" t="s">
        <v>858</v>
      </c>
      <c r="I350" s="1" t="s">
        <v>173</v>
      </c>
      <c r="J350" s="1">
        <v>1</v>
      </c>
    </row>
    <row r="351" spans="8:10">
      <c r="H351" s="1" t="s">
        <v>858</v>
      </c>
      <c r="I351" s="1" t="s">
        <v>197</v>
      </c>
      <c r="J351" s="1">
        <v>1</v>
      </c>
    </row>
    <row r="352" spans="8:10">
      <c r="H352" s="1" t="s">
        <v>786</v>
      </c>
      <c r="I352" s="1" t="s">
        <v>144</v>
      </c>
      <c r="J352" s="1">
        <v>1</v>
      </c>
    </row>
    <row r="353" spans="8:10">
      <c r="H353" s="1" t="s">
        <v>889</v>
      </c>
      <c r="I353" s="1" t="s">
        <v>172</v>
      </c>
      <c r="J353" s="1">
        <v>1</v>
      </c>
    </row>
    <row r="354" spans="8:10">
      <c r="H354" s="1" t="s">
        <v>889</v>
      </c>
      <c r="I354" s="1" t="s">
        <v>202</v>
      </c>
      <c r="J354" s="1">
        <v>1</v>
      </c>
    </row>
    <row r="355" spans="8:10">
      <c r="H355" s="1" t="s">
        <v>889</v>
      </c>
      <c r="I355" s="1" t="s">
        <v>199</v>
      </c>
      <c r="J355" s="1">
        <v>1</v>
      </c>
    </row>
    <row r="356" spans="8:10">
      <c r="H356" s="1" t="s">
        <v>930</v>
      </c>
      <c r="I356" s="1" t="s">
        <v>198</v>
      </c>
      <c r="J356" s="1">
        <v>1</v>
      </c>
    </row>
    <row r="357" spans="8:10">
      <c r="H357" s="1" t="s">
        <v>964</v>
      </c>
      <c r="I357" s="1" t="s">
        <v>198</v>
      </c>
      <c r="J357" s="1">
        <v>1</v>
      </c>
    </row>
    <row r="358" spans="8:10">
      <c r="H358" s="1" t="s">
        <v>951</v>
      </c>
      <c r="I358" s="1" t="s">
        <v>181</v>
      </c>
      <c r="J358" s="1">
        <v>1</v>
      </c>
    </row>
    <row r="359" spans="8:10">
      <c r="H359" s="1" t="s">
        <v>950</v>
      </c>
      <c r="I359" s="1" t="s">
        <v>198</v>
      </c>
      <c r="J359" s="1">
        <v>1</v>
      </c>
    </row>
    <row r="360" spans="8:10">
      <c r="H360" s="1" t="s">
        <v>954</v>
      </c>
      <c r="I360" s="1" t="s">
        <v>196</v>
      </c>
      <c r="J360" s="1">
        <v>1</v>
      </c>
    </row>
    <row r="361" spans="8:10">
      <c r="H361" s="1" t="s">
        <v>954</v>
      </c>
      <c r="I361" s="1" t="s">
        <v>187</v>
      </c>
      <c r="J361" s="1">
        <v>1</v>
      </c>
    </row>
    <row r="362" spans="8:10">
      <c r="H362" s="1" t="s">
        <v>789</v>
      </c>
      <c r="I362" s="1" t="s">
        <v>194</v>
      </c>
      <c r="J362" s="1">
        <v>1</v>
      </c>
    </row>
    <row r="363" spans="8:10">
      <c r="H363" s="1" t="s">
        <v>789</v>
      </c>
      <c r="I363" s="1" t="s">
        <v>164</v>
      </c>
      <c r="J363" s="1">
        <v>1</v>
      </c>
    </row>
    <row r="364" spans="8:10">
      <c r="H364" s="1" t="s">
        <v>789</v>
      </c>
      <c r="I364" s="1" t="s">
        <v>201</v>
      </c>
      <c r="J364" s="1">
        <v>1</v>
      </c>
    </row>
    <row r="365" spans="8:10">
      <c r="H365" s="1" t="s">
        <v>899</v>
      </c>
      <c r="I365" s="1" t="s">
        <v>153</v>
      </c>
      <c r="J365" s="1">
        <v>1</v>
      </c>
    </row>
    <row r="366" spans="8:10">
      <c r="H366" s="1" t="s">
        <v>859</v>
      </c>
      <c r="I366" s="1" t="s">
        <v>198</v>
      </c>
      <c r="J366" s="1">
        <v>1</v>
      </c>
    </row>
    <row r="367" spans="8:10">
      <c r="H367" s="1" t="s">
        <v>859</v>
      </c>
      <c r="I367" s="1" t="s">
        <v>201</v>
      </c>
      <c r="J367" s="1">
        <v>1</v>
      </c>
    </row>
    <row r="368" spans="8:10">
      <c r="H368" s="1" t="s">
        <v>859</v>
      </c>
      <c r="I368" s="1" t="s">
        <v>203</v>
      </c>
      <c r="J368" s="1">
        <v>1</v>
      </c>
    </row>
    <row r="369" spans="8:10">
      <c r="H369" s="1" t="s">
        <v>880</v>
      </c>
      <c r="I369" s="1" t="s">
        <v>198</v>
      </c>
      <c r="J369" s="1">
        <v>1</v>
      </c>
    </row>
    <row r="370" spans="8:10">
      <c r="H370" s="1" t="s">
        <v>905</v>
      </c>
      <c r="I370" s="1" t="s">
        <v>199</v>
      </c>
      <c r="J370" s="1">
        <v>1</v>
      </c>
    </row>
    <row r="371" spans="8:10">
      <c r="H371" s="1" t="s">
        <v>905</v>
      </c>
      <c r="I371" s="1" t="s">
        <v>195</v>
      </c>
      <c r="J371" s="1">
        <v>1</v>
      </c>
    </row>
    <row r="372" spans="8:10">
      <c r="H372" s="1" t="s">
        <v>938</v>
      </c>
      <c r="I372" s="1" t="s">
        <v>160</v>
      </c>
      <c r="J372" s="1">
        <v>1</v>
      </c>
    </row>
    <row r="373" spans="8:10">
      <c r="H373" s="1" t="s">
        <v>776</v>
      </c>
      <c r="I373" s="1" t="s">
        <v>166</v>
      </c>
      <c r="J373" s="1">
        <v>1</v>
      </c>
    </row>
    <row r="374" spans="8:10">
      <c r="H374" s="1" t="s">
        <v>776</v>
      </c>
      <c r="I374" s="1" t="s">
        <v>162</v>
      </c>
      <c r="J374" s="1">
        <v>1</v>
      </c>
    </row>
    <row r="375" spans="8:10">
      <c r="H375" s="1" t="s">
        <v>776</v>
      </c>
      <c r="I375" s="1" t="s">
        <v>201</v>
      </c>
      <c r="J375" s="1">
        <v>1</v>
      </c>
    </row>
    <row r="376" spans="8:10">
      <c r="H376" s="1" t="s">
        <v>927</v>
      </c>
      <c r="I376" s="1" t="s">
        <v>198</v>
      </c>
      <c r="J376" s="1">
        <v>1</v>
      </c>
    </row>
    <row r="377" spans="8:10">
      <c r="H377" s="1" t="s">
        <v>850</v>
      </c>
      <c r="I377" s="1" t="s">
        <v>170</v>
      </c>
      <c r="J377" s="1">
        <v>1</v>
      </c>
    </row>
    <row r="378" spans="8:10">
      <c r="H378" s="1" t="s">
        <v>850</v>
      </c>
      <c r="I378" s="1" t="s">
        <v>196</v>
      </c>
      <c r="J378" s="1">
        <v>1</v>
      </c>
    </row>
    <row r="379" spans="8:10">
      <c r="H379" s="1" t="s">
        <v>804</v>
      </c>
      <c r="I379" s="1" t="s">
        <v>158</v>
      </c>
      <c r="J379" s="1">
        <v>1</v>
      </c>
    </row>
    <row r="380" spans="8:10">
      <c r="H380" s="1" t="s">
        <v>804</v>
      </c>
      <c r="I380" s="1" t="s">
        <v>160</v>
      </c>
      <c r="J380" s="1">
        <v>1</v>
      </c>
    </row>
    <row r="381" spans="8:10">
      <c r="H381" s="1" t="s">
        <v>804</v>
      </c>
      <c r="I381" s="1" t="s">
        <v>194</v>
      </c>
      <c r="J381" s="1">
        <v>1</v>
      </c>
    </row>
    <row r="382" spans="8:10">
      <c r="H382" s="1" t="s">
        <v>804</v>
      </c>
      <c r="I382" s="1" t="s">
        <v>135</v>
      </c>
      <c r="J382" s="1">
        <v>1</v>
      </c>
    </row>
    <row r="383" spans="8:10">
      <c r="H383" s="1" t="s">
        <v>945</v>
      </c>
      <c r="I383" s="1" t="s">
        <v>135</v>
      </c>
      <c r="J383" s="1">
        <v>1</v>
      </c>
    </row>
    <row r="384" spans="8:10">
      <c r="H384" s="1" t="s">
        <v>881</v>
      </c>
      <c r="I384" s="1" t="s">
        <v>156</v>
      </c>
      <c r="J384" s="1">
        <v>1</v>
      </c>
    </row>
    <row r="385" spans="8:10">
      <c r="H385" s="1" t="s">
        <v>881</v>
      </c>
      <c r="I385" s="1" t="s">
        <v>167</v>
      </c>
      <c r="J385" s="1">
        <v>1</v>
      </c>
    </row>
    <row r="386" spans="8:10">
      <c r="H386" s="1" t="s">
        <v>881</v>
      </c>
      <c r="I386" s="1" t="s">
        <v>174</v>
      </c>
      <c r="J386" s="1">
        <v>1</v>
      </c>
    </row>
    <row r="387" spans="8:10">
      <c r="H387" s="1" t="s">
        <v>881</v>
      </c>
      <c r="I387" s="1" t="s">
        <v>173</v>
      </c>
      <c r="J387" s="1">
        <v>1</v>
      </c>
    </row>
    <row r="388" spans="8:10">
      <c r="H388" s="1" t="s">
        <v>881</v>
      </c>
      <c r="I388" s="1" t="s">
        <v>164</v>
      </c>
      <c r="J388" s="1">
        <v>1</v>
      </c>
    </row>
    <row r="389" spans="8:10">
      <c r="H389" s="1" t="s">
        <v>881</v>
      </c>
      <c r="I389" s="1" t="s">
        <v>199</v>
      </c>
      <c r="J389" s="1">
        <v>1</v>
      </c>
    </row>
    <row r="390" spans="8:10">
      <c r="H390" s="1" t="s">
        <v>881</v>
      </c>
      <c r="I390" s="1" t="s">
        <v>135</v>
      </c>
      <c r="J390" s="1">
        <v>1</v>
      </c>
    </row>
    <row r="391" spans="8:10">
      <c r="H391" s="1" t="s">
        <v>1050</v>
      </c>
      <c r="I391" s="1" t="s">
        <v>153</v>
      </c>
      <c r="J391" s="1">
        <v>1</v>
      </c>
    </row>
    <row r="392" spans="8:10">
      <c r="H392" s="1" t="s">
        <v>909</v>
      </c>
      <c r="I392" s="1" t="s">
        <v>153</v>
      </c>
      <c r="J392" s="1">
        <v>1</v>
      </c>
    </row>
    <row r="393" spans="8:10">
      <c r="H393" s="1" t="s">
        <v>909</v>
      </c>
      <c r="I393" s="1" t="s">
        <v>199</v>
      </c>
      <c r="J393" s="1">
        <v>1</v>
      </c>
    </row>
    <row r="394" spans="8:10">
      <c r="H394" s="1" t="s">
        <v>895</v>
      </c>
      <c r="I394" s="1" t="s">
        <v>160</v>
      </c>
      <c r="J394" s="1">
        <v>1</v>
      </c>
    </row>
    <row r="395" spans="8:10">
      <c r="H395" s="1" t="s">
        <v>895</v>
      </c>
      <c r="I395" s="1" t="s">
        <v>174</v>
      </c>
      <c r="J395" s="1">
        <v>1</v>
      </c>
    </row>
    <row r="396" spans="8:10">
      <c r="H396" s="1" t="s">
        <v>895</v>
      </c>
      <c r="I396" s="1" t="s">
        <v>153</v>
      </c>
      <c r="J396" s="1">
        <v>1</v>
      </c>
    </row>
    <row r="397" spans="8:10">
      <c r="H397" s="1" t="s">
        <v>895</v>
      </c>
      <c r="I397" s="1" t="s">
        <v>173</v>
      </c>
      <c r="J397" s="1">
        <v>1</v>
      </c>
    </row>
    <row r="398" spans="8:10">
      <c r="H398" s="1" t="s">
        <v>895</v>
      </c>
      <c r="I398" s="1" t="s">
        <v>197</v>
      </c>
      <c r="J398" s="1">
        <v>1</v>
      </c>
    </row>
    <row r="399" spans="8:10">
      <c r="H399" s="1" t="s">
        <v>895</v>
      </c>
      <c r="I399" s="1" t="s">
        <v>162</v>
      </c>
      <c r="J399" s="1">
        <v>1</v>
      </c>
    </row>
    <row r="400" spans="8:10">
      <c r="H400" s="1" t="s">
        <v>895</v>
      </c>
      <c r="I400" s="1" t="s">
        <v>203</v>
      </c>
      <c r="J400" s="1">
        <v>1</v>
      </c>
    </row>
    <row r="401" spans="8:10">
      <c r="H401" s="1" t="s">
        <v>895</v>
      </c>
      <c r="I401" s="1" t="s">
        <v>204</v>
      </c>
      <c r="J401" s="1">
        <v>1</v>
      </c>
    </row>
    <row r="402" spans="8:10">
      <c r="H402" s="1" t="s">
        <v>924</v>
      </c>
      <c r="I402" s="1" t="s">
        <v>203</v>
      </c>
      <c r="J402" s="1">
        <v>1</v>
      </c>
    </row>
    <row r="403" spans="8:10">
      <c r="H403" s="1" t="s">
        <v>856</v>
      </c>
      <c r="I403" s="1" t="s">
        <v>181</v>
      </c>
      <c r="J403" s="1">
        <v>1</v>
      </c>
    </row>
    <row r="404" spans="8:10">
      <c r="H404" s="1" t="s">
        <v>856</v>
      </c>
      <c r="I404" s="1" t="s">
        <v>167</v>
      </c>
      <c r="J404" s="1">
        <v>1</v>
      </c>
    </row>
    <row r="405" spans="8:10">
      <c r="H405" s="1" t="s">
        <v>856</v>
      </c>
      <c r="I405" s="1" t="s">
        <v>187</v>
      </c>
      <c r="J405" s="1">
        <v>1</v>
      </c>
    </row>
    <row r="406" spans="8:10">
      <c r="H406" s="1" t="s">
        <v>856</v>
      </c>
      <c r="I406" s="1" t="s">
        <v>197</v>
      </c>
      <c r="J406" s="1">
        <v>1</v>
      </c>
    </row>
    <row r="407" spans="8:10">
      <c r="H407" s="1" t="s">
        <v>856</v>
      </c>
      <c r="I407" s="1" t="s">
        <v>203</v>
      </c>
      <c r="J407" s="1">
        <v>1</v>
      </c>
    </row>
    <row r="408" spans="8:10">
      <c r="H408" s="1" t="s">
        <v>947</v>
      </c>
      <c r="I408" s="1" t="s">
        <v>158</v>
      </c>
      <c r="J408" s="1">
        <v>1</v>
      </c>
    </row>
    <row r="409" spans="8:10">
      <c r="H409" s="1" t="s">
        <v>947</v>
      </c>
      <c r="I409" s="1" t="s">
        <v>203</v>
      </c>
      <c r="J409" s="1">
        <v>1</v>
      </c>
    </row>
    <row r="410" spans="8:10">
      <c r="H410" s="1" t="s">
        <v>902</v>
      </c>
      <c r="I410" s="1" t="s">
        <v>196</v>
      </c>
      <c r="J410" s="1">
        <v>1</v>
      </c>
    </row>
    <row r="411" spans="8:10">
      <c r="H411" s="1" t="s">
        <v>902</v>
      </c>
      <c r="I411" s="1" t="s">
        <v>203</v>
      </c>
      <c r="J411" s="1">
        <v>1</v>
      </c>
    </row>
    <row r="412" spans="8:10">
      <c r="H412" s="1" t="s">
        <v>956</v>
      </c>
      <c r="I412" s="1" t="s">
        <v>181</v>
      </c>
      <c r="J412" s="1">
        <v>1</v>
      </c>
    </row>
    <row r="413" spans="8:10">
      <c r="H413" s="1" t="s">
        <v>894</v>
      </c>
      <c r="I413" s="1" t="s">
        <v>202</v>
      </c>
      <c r="J413" s="1">
        <v>1</v>
      </c>
    </row>
    <row r="414" spans="8:10">
      <c r="H414" s="1" t="s">
        <v>894</v>
      </c>
      <c r="I414" s="1" t="s">
        <v>173</v>
      </c>
      <c r="J414" s="1">
        <v>1</v>
      </c>
    </row>
    <row r="415" spans="8:10">
      <c r="H415" s="1" t="s">
        <v>894</v>
      </c>
      <c r="I415" s="1" t="s">
        <v>197</v>
      </c>
      <c r="J415" s="1">
        <v>1</v>
      </c>
    </row>
    <row r="416" spans="8:10">
      <c r="H416" s="1" t="s">
        <v>894</v>
      </c>
      <c r="I416" s="1" t="s">
        <v>195</v>
      </c>
      <c r="J416" s="1">
        <v>1</v>
      </c>
    </row>
    <row r="417" spans="8:10">
      <c r="H417" s="1" t="s">
        <v>894</v>
      </c>
      <c r="I417" s="1" t="s">
        <v>203</v>
      </c>
      <c r="J417" s="1">
        <v>1</v>
      </c>
    </row>
    <row r="418" spans="8:10">
      <c r="H418" s="1" t="s">
        <v>894</v>
      </c>
      <c r="I418" s="1" t="s">
        <v>204</v>
      </c>
      <c r="J418" s="1">
        <v>1</v>
      </c>
    </row>
    <row r="419" spans="8:10">
      <c r="H419" s="1" t="s">
        <v>893</v>
      </c>
      <c r="I419" s="1" t="s">
        <v>190</v>
      </c>
      <c r="J419" s="1">
        <v>1</v>
      </c>
    </row>
    <row r="420" spans="8:10">
      <c r="H420" s="1" t="s">
        <v>893</v>
      </c>
      <c r="I420" s="1" t="s">
        <v>153</v>
      </c>
      <c r="J420" s="1">
        <v>1</v>
      </c>
    </row>
    <row r="421" spans="8:10">
      <c r="H421" s="1" t="s">
        <v>893</v>
      </c>
      <c r="I421" s="1" t="s">
        <v>197</v>
      </c>
      <c r="J421" s="1">
        <v>1</v>
      </c>
    </row>
    <row r="422" spans="8:10">
      <c r="H422" s="1" t="s">
        <v>893</v>
      </c>
      <c r="I422" s="1" t="s">
        <v>204</v>
      </c>
      <c r="J422" s="1">
        <v>1</v>
      </c>
    </row>
    <row r="423" spans="8:10">
      <c r="H423" s="1" t="s">
        <v>953</v>
      </c>
      <c r="I423" s="1" t="s">
        <v>172</v>
      </c>
      <c r="J423" s="1">
        <v>1</v>
      </c>
    </row>
    <row r="424" spans="8:10">
      <c r="H424" s="1" t="s">
        <v>936</v>
      </c>
      <c r="I424" s="1" t="s">
        <v>198</v>
      </c>
      <c r="J424" s="1">
        <v>1</v>
      </c>
    </row>
    <row r="425" spans="8:10">
      <c r="H425" s="1" t="s">
        <v>931</v>
      </c>
      <c r="I425" s="1" t="s">
        <v>198</v>
      </c>
      <c r="J425" s="1">
        <v>1</v>
      </c>
    </row>
    <row r="426" spans="8:10">
      <c r="H426" s="1" t="s">
        <v>783</v>
      </c>
      <c r="I426" s="1" t="s">
        <v>148</v>
      </c>
      <c r="J426" s="1">
        <v>1</v>
      </c>
    </row>
    <row r="427" spans="8:10">
      <c r="H427" s="1" t="s">
        <v>783</v>
      </c>
      <c r="I427" s="1" t="s">
        <v>146</v>
      </c>
      <c r="J427" s="1">
        <v>1</v>
      </c>
    </row>
    <row r="428" spans="8:10">
      <c r="H428" s="1" t="s">
        <v>783</v>
      </c>
      <c r="I428" s="1" t="s">
        <v>137</v>
      </c>
      <c r="J428" s="1">
        <v>1</v>
      </c>
    </row>
    <row r="429" spans="8:10">
      <c r="H429" s="1" t="s">
        <v>944</v>
      </c>
      <c r="I429" s="1" t="s">
        <v>187</v>
      </c>
      <c r="J429" s="1">
        <v>1</v>
      </c>
    </row>
    <row r="430" spans="8:10">
      <c r="H430" s="1" t="s">
        <v>876</v>
      </c>
      <c r="I430" s="1" t="s">
        <v>158</v>
      </c>
      <c r="J430" s="1">
        <v>1</v>
      </c>
    </row>
    <row r="431" spans="8:10">
      <c r="H431" s="1" t="s">
        <v>876</v>
      </c>
      <c r="I431" s="1" t="s">
        <v>191</v>
      </c>
      <c r="J431" s="1">
        <v>1</v>
      </c>
    </row>
    <row r="432" spans="8:10">
      <c r="H432" s="1" t="s">
        <v>876</v>
      </c>
      <c r="I432" s="1" t="s">
        <v>195</v>
      </c>
      <c r="J432" s="1">
        <v>1</v>
      </c>
    </row>
    <row r="433" spans="8:10">
      <c r="H433" s="1" t="s">
        <v>916</v>
      </c>
      <c r="I433" s="1" t="s">
        <v>135</v>
      </c>
      <c r="J433" s="1">
        <v>1</v>
      </c>
    </row>
    <row r="434" spans="8:10">
      <c r="H434" s="1" t="s">
        <v>857</v>
      </c>
      <c r="I434" s="1" t="s">
        <v>135</v>
      </c>
      <c r="J434" s="1">
        <v>1</v>
      </c>
    </row>
    <row r="435" spans="8:10">
      <c r="H435" s="1" t="s">
        <v>857</v>
      </c>
      <c r="I435" s="1" t="s">
        <v>203</v>
      </c>
      <c r="J435" s="1">
        <v>1</v>
      </c>
    </row>
    <row r="436" spans="8:10">
      <c r="H436" s="1" t="s">
        <v>869</v>
      </c>
      <c r="I436" s="1" t="s">
        <v>146</v>
      </c>
      <c r="J436" s="1">
        <v>1</v>
      </c>
    </row>
    <row r="437" spans="8:10">
      <c r="H437" s="1" t="s">
        <v>869</v>
      </c>
      <c r="I437" s="1" t="s">
        <v>164</v>
      </c>
      <c r="J437" s="1">
        <v>1</v>
      </c>
    </row>
    <row r="438" spans="8:10">
      <c r="H438" s="1" t="s">
        <v>790</v>
      </c>
      <c r="I438" s="1" t="s">
        <v>172</v>
      </c>
      <c r="J438" s="1">
        <v>1</v>
      </c>
    </row>
    <row r="439" spans="8:10">
      <c r="H439" s="1" t="s">
        <v>790</v>
      </c>
      <c r="I439" s="1" t="s">
        <v>202</v>
      </c>
      <c r="J439" s="1">
        <v>1</v>
      </c>
    </row>
    <row r="440" spans="8:10">
      <c r="H440" s="1" t="s">
        <v>790</v>
      </c>
      <c r="I440" s="1" t="s">
        <v>201</v>
      </c>
      <c r="J440" s="1">
        <v>1</v>
      </c>
    </row>
    <row r="441" spans="8:10">
      <c r="H441" s="1" t="s">
        <v>790</v>
      </c>
      <c r="I441" s="1" t="s">
        <v>203</v>
      </c>
      <c r="J441" s="1">
        <v>1</v>
      </c>
    </row>
    <row r="442" spans="8:10">
      <c r="H442" s="1" t="s">
        <v>839</v>
      </c>
      <c r="I442" s="1" t="s">
        <v>181</v>
      </c>
      <c r="J442" s="1">
        <v>1</v>
      </c>
    </row>
    <row r="443" spans="8:10">
      <c r="H443" s="1" t="s">
        <v>839</v>
      </c>
      <c r="I443" s="1" t="s">
        <v>204</v>
      </c>
      <c r="J443" s="1">
        <v>1</v>
      </c>
    </row>
    <row r="444" spans="8:10">
      <c r="H444" s="1" t="s">
        <v>928</v>
      </c>
      <c r="I444" s="1" t="s">
        <v>199</v>
      </c>
      <c r="J444" s="1">
        <v>1</v>
      </c>
    </row>
    <row r="445" spans="8:10">
      <c r="H445" s="1" t="s">
        <v>928</v>
      </c>
      <c r="I445" s="1" t="s">
        <v>203</v>
      </c>
      <c r="J445" s="1">
        <v>1</v>
      </c>
    </row>
    <row r="446" spans="8:10">
      <c r="H446" s="1" t="s">
        <v>867</v>
      </c>
      <c r="I446" s="1" t="s">
        <v>156</v>
      </c>
      <c r="J446" s="1">
        <v>1</v>
      </c>
    </row>
    <row r="447" spans="8:10">
      <c r="H447" s="1" t="s">
        <v>867</v>
      </c>
      <c r="I447" s="1" t="s">
        <v>167</v>
      </c>
      <c r="J447" s="1">
        <v>1</v>
      </c>
    </row>
    <row r="448" spans="8:10">
      <c r="H448" s="1" t="s">
        <v>867</v>
      </c>
      <c r="I448" s="1" t="s">
        <v>166</v>
      </c>
      <c r="J448" s="1">
        <v>1</v>
      </c>
    </row>
    <row r="449" spans="8:10">
      <c r="H449" s="1" t="s">
        <v>900</v>
      </c>
      <c r="I449" s="1" t="s">
        <v>196</v>
      </c>
      <c r="J449" s="1">
        <v>1</v>
      </c>
    </row>
    <row r="450" spans="8:10">
      <c r="H450" s="1" t="s">
        <v>900</v>
      </c>
      <c r="I450" s="1" t="s">
        <v>197</v>
      </c>
      <c r="J450" s="1">
        <v>1</v>
      </c>
    </row>
    <row r="451" spans="8:10">
      <c r="H451" s="1" t="s">
        <v>900</v>
      </c>
      <c r="I451" s="1" t="s">
        <v>131</v>
      </c>
      <c r="J451" s="1">
        <v>1</v>
      </c>
    </row>
    <row r="452" spans="8:10">
      <c r="H452" s="1" t="s">
        <v>949</v>
      </c>
      <c r="I452" s="1" t="s">
        <v>198</v>
      </c>
      <c r="J452" s="1">
        <v>1</v>
      </c>
    </row>
    <row r="453" spans="8:10">
      <c r="H453" s="1" t="s">
        <v>949</v>
      </c>
      <c r="I453" s="1" t="s">
        <v>201</v>
      </c>
      <c r="J453" s="1">
        <v>1</v>
      </c>
    </row>
    <row r="454" spans="8:10">
      <c r="H454" s="1" t="s">
        <v>949</v>
      </c>
      <c r="I454" s="1" t="s">
        <v>204</v>
      </c>
      <c r="J454" s="1">
        <v>1</v>
      </c>
    </row>
    <row r="455" spans="8:10">
      <c r="H455" s="1" t="s">
        <v>920</v>
      </c>
      <c r="I455" s="1" t="s">
        <v>197</v>
      </c>
      <c r="J455" s="1">
        <v>1</v>
      </c>
    </row>
    <row r="456" spans="8:10">
      <c r="H456" s="1" t="s">
        <v>920</v>
      </c>
      <c r="I456" s="1" t="s">
        <v>203</v>
      </c>
      <c r="J456" s="1">
        <v>1</v>
      </c>
    </row>
    <row r="457" spans="8:10">
      <c r="H457" s="1" t="s">
        <v>852</v>
      </c>
      <c r="I457" s="1" t="s">
        <v>151</v>
      </c>
      <c r="J457" s="1">
        <v>1</v>
      </c>
    </row>
    <row r="458" spans="8:10">
      <c r="H458" s="1" t="s">
        <v>809</v>
      </c>
      <c r="I458" s="1" t="s">
        <v>158</v>
      </c>
      <c r="J458" s="1">
        <v>1</v>
      </c>
    </row>
    <row r="459" spans="8:10">
      <c r="H459" s="1" t="s">
        <v>809</v>
      </c>
      <c r="I459" s="1" t="s">
        <v>194</v>
      </c>
      <c r="J459" s="1">
        <v>1</v>
      </c>
    </row>
    <row r="460" spans="8:10">
      <c r="H460" s="1" t="s">
        <v>809</v>
      </c>
      <c r="I460" s="1" t="s">
        <v>166</v>
      </c>
      <c r="J460" s="1">
        <v>1</v>
      </c>
    </row>
    <row r="461" spans="8:10">
      <c r="H461" s="1" t="s">
        <v>925</v>
      </c>
      <c r="I461" s="1" t="s">
        <v>160</v>
      </c>
      <c r="J461" s="1">
        <v>1</v>
      </c>
    </row>
    <row r="462" spans="8:10">
      <c r="H462" s="1" t="s">
        <v>906</v>
      </c>
      <c r="I462" s="1" t="s">
        <v>198</v>
      </c>
      <c r="J462" s="1">
        <v>1</v>
      </c>
    </row>
    <row r="463" spans="8:10">
      <c r="H463" s="1" t="s">
        <v>963</v>
      </c>
      <c r="I463" s="1" t="s">
        <v>198</v>
      </c>
      <c r="J463" s="1">
        <v>1</v>
      </c>
    </row>
    <row r="464" spans="8:10">
      <c r="H464" s="1" t="s">
        <v>828</v>
      </c>
      <c r="I464" s="1" t="s">
        <v>198</v>
      </c>
      <c r="J464" s="1">
        <v>1</v>
      </c>
    </row>
    <row r="465" spans="8:10">
      <c r="H465" s="1" t="s">
        <v>828</v>
      </c>
      <c r="I465" s="1" t="s">
        <v>199</v>
      </c>
      <c r="J465" s="1">
        <v>1</v>
      </c>
    </row>
    <row r="466" spans="8:10">
      <c r="H466" s="1" t="s">
        <v>828</v>
      </c>
      <c r="I466" s="1" t="s">
        <v>201</v>
      </c>
      <c r="J466" s="1">
        <v>1</v>
      </c>
    </row>
    <row r="467" spans="8:10">
      <c r="H467" s="1" t="s">
        <v>828</v>
      </c>
      <c r="I467" s="1" t="s">
        <v>204</v>
      </c>
      <c r="J467" s="1">
        <v>1</v>
      </c>
    </row>
    <row r="468" spans="8:10">
      <c r="H468" s="1" t="s">
        <v>835</v>
      </c>
      <c r="I468" s="1" t="s">
        <v>160</v>
      </c>
      <c r="J468" s="1">
        <v>1</v>
      </c>
    </row>
    <row r="469" spans="8:10">
      <c r="H469" s="1" t="s">
        <v>835</v>
      </c>
      <c r="I469" s="1" t="s">
        <v>199</v>
      </c>
      <c r="J469" s="1">
        <v>1</v>
      </c>
    </row>
    <row r="470" spans="8:10">
      <c r="H470" s="1" t="s">
        <v>835</v>
      </c>
      <c r="I470" s="1" t="s">
        <v>150</v>
      </c>
      <c r="J470" s="1">
        <v>1</v>
      </c>
    </row>
    <row r="471" spans="8:10">
      <c r="H471" s="1" t="s">
        <v>835</v>
      </c>
      <c r="I471" s="1" t="s">
        <v>204</v>
      </c>
      <c r="J471" s="1">
        <v>1</v>
      </c>
    </row>
    <row r="472" spans="8:10">
      <c r="H472" s="1" t="s">
        <v>921</v>
      </c>
      <c r="I472" s="1" t="s">
        <v>199</v>
      </c>
      <c r="J472" s="1">
        <v>1</v>
      </c>
    </row>
    <row r="473" spans="8:10">
      <c r="H473" s="1" t="s">
        <v>921</v>
      </c>
      <c r="I473" s="1" t="s">
        <v>203</v>
      </c>
      <c r="J473" s="1">
        <v>1</v>
      </c>
    </row>
    <row r="474" spans="8:10">
      <c r="H474" s="1" t="s">
        <v>897</v>
      </c>
      <c r="I474" s="1" t="s">
        <v>171</v>
      </c>
      <c r="J474" s="1">
        <v>1</v>
      </c>
    </row>
    <row r="475" spans="8:10">
      <c r="H475" s="1" t="s">
        <v>897</v>
      </c>
      <c r="I475" s="1" t="s">
        <v>153</v>
      </c>
      <c r="J475" s="1">
        <v>1</v>
      </c>
    </row>
    <row r="476" spans="8:10">
      <c r="H476" s="1" t="s">
        <v>897</v>
      </c>
      <c r="I476" s="1" t="s">
        <v>137</v>
      </c>
      <c r="J476" s="1">
        <v>1</v>
      </c>
    </row>
    <row r="477" spans="8:10">
      <c r="H477" s="1" t="s">
        <v>897</v>
      </c>
      <c r="I477" s="1" t="s">
        <v>199</v>
      </c>
      <c r="J477" s="1">
        <v>1</v>
      </c>
    </row>
    <row r="478" spans="8:10">
      <c r="H478" s="1" t="s">
        <v>897</v>
      </c>
      <c r="I478" s="1" t="s">
        <v>195</v>
      </c>
      <c r="J478" s="1">
        <v>1</v>
      </c>
    </row>
    <row r="479" spans="8:10">
      <c r="H479" s="1" t="s">
        <v>887</v>
      </c>
      <c r="I479" s="1" t="s">
        <v>187</v>
      </c>
      <c r="J479" s="1">
        <v>1</v>
      </c>
    </row>
    <row r="480" spans="8:10">
      <c r="H480" s="1" t="s">
        <v>887</v>
      </c>
      <c r="I480" s="1" t="s">
        <v>197</v>
      </c>
      <c r="J480" s="1">
        <v>1</v>
      </c>
    </row>
    <row r="481" spans="8:10">
      <c r="H481" s="1" t="s">
        <v>887</v>
      </c>
      <c r="I481" s="1" t="s">
        <v>137</v>
      </c>
      <c r="J481" s="1">
        <v>1</v>
      </c>
    </row>
    <row r="482" spans="8:10">
      <c r="H482" s="1" t="s">
        <v>887</v>
      </c>
      <c r="I482" s="1" t="s">
        <v>199</v>
      </c>
      <c r="J482" s="1">
        <v>1</v>
      </c>
    </row>
    <row r="483" spans="8:10">
      <c r="H483" s="1" t="s">
        <v>810</v>
      </c>
      <c r="I483" s="1" t="s">
        <v>160</v>
      </c>
      <c r="J483" s="1">
        <v>1</v>
      </c>
    </row>
    <row r="484" spans="8:10">
      <c r="H484" s="1" t="s">
        <v>810</v>
      </c>
      <c r="I484" s="1" t="s">
        <v>175</v>
      </c>
      <c r="J484" s="1">
        <v>1</v>
      </c>
    </row>
    <row r="485" spans="8:10">
      <c r="H485" s="1" t="s">
        <v>810</v>
      </c>
      <c r="I485" s="1" t="s">
        <v>131</v>
      </c>
      <c r="J485" s="1">
        <v>1</v>
      </c>
    </row>
    <row r="486" spans="8:10">
      <c r="H486" s="1" t="s">
        <v>808</v>
      </c>
      <c r="I486" s="1" t="s">
        <v>174</v>
      </c>
      <c r="J486" s="1">
        <v>1</v>
      </c>
    </row>
    <row r="487" spans="8:10">
      <c r="H487" s="1" t="s">
        <v>808</v>
      </c>
      <c r="I487" s="1" t="s">
        <v>191</v>
      </c>
      <c r="J487" s="1">
        <v>1</v>
      </c>
    </row>
    <row r="488" spans="8:10">
      <c r="H488" s="1" t="s">
        <v>808</v>
      </c>
      <c r="I488" s="1" t="s">
        <v>199</v>
      </c>
      <c r="J488" s="1">
        <v>1</v>
      </c>
    </row>
    <row r="489" spans="8:10">
      <c r="H489" s="1" t="s">
        <v>781</v>
      </c>
      <c r="I489" s="1" t="s">
        <v>158</v>
      </c>
      <c r="J489" s="1">
        <v>1</v>
      </c>
    </row>
    <row r="490" spans="8:10">
      <c r="H490" s="1" t="s">
        <v>781</v>
      </c>
      <c r="I490" s="1" t="s">
        <v>169</v>
      </c>
      <c r="J490" s="1">
        <v>1</v>
      </c>
    </row>
    <row r="491" spans="8:10">
      <c r="H491" s="1" t="s">
        <v>223</v>
      </c>
      <c r="I491" s="1" t="s">
        <v>148</v>
      </c>
      <c r="J491" s="1">
        <v>1</v>
      </c>
    </row>
    <row r="492" spans="8:10">
      <c r="H492" s="1" t="s">
        <v>223</v>
      </c>
      <c r="I492" s="1" t="s">
        <v>202</v>
      </c>
      <c r="J492" s="1">
        <v>1</v>
      </c>
    </row>
    <row r="493" spans="8:10">
      <c r="H493" s="1" t="s">
        <v>223</v>
      </c>
      <c r="I493" s="1" t="s">
        <v>131</v>
      </c>
      <c r="J493" s="1">
        <v>1</v>
      </c>
    </row>
    <row r="494" spans="8:10">
      <c r="H494" s="1" t="s">
        <v>223</v>
      </c>
      <c r="I494" s="1" t="s">
        <v>203</v>
      </c>
      <c r="J494" s="1">
        <v>1</v>
      </c>
    </row>
    <row r="495" spans="8:10">
      <c r="H495" s="1" t="s">
        <v>223</v>
      </c>
      <c r="I495" s="1" t="s">
        <v>204</v>
      </c>
      <c r="J495" s="1">
        <v>1</v>
      </c>
    </row>
    <row r="496" spans="8:10">
      <c r="H496" s="1" t="s">
        <v>940</v>
      </c>
      <c r="I496" s="1" t="s">
        <v>198</v>
      </c>
      <c r="J496" s="1">
        <v>1</v>
      </c>
    </row>
    <row r="497" spans="8:10">
      <c r="H497" s="1" t="s">
        <v>919</v>
      </c>
      <c r="I497" s="1" t="s">
        <v>199</v>
      </c>
      <c r="J497" s="1">
        <v>1</v>
      </c>
    </row>
    <row r="498" spans="8:10">
      <c r="H498" s="1" t="s">
        <v>833</v>
      </c>
      <c r="I498" s="1" t="s">
        <v>191</v>
      </c>
      <c r="J498" s="1">
        <v>1</v>
      </c>
    </row>
    <row r="499" spans="8:10">
      <c r="H499" s="1" t="s">
        <v>833</v>
      </c>
      <c r="I499" s="1" t="s">
        <v>137</v>
      </c>
      <c r="J499" s="1">
        <v>1</v>
      </c>
    </row>
    <row r="500" spans="8:10">
      <c r="H500" s="1" t="s">
        <v>833</v>
      </c>
      <c r="I500" s="1" t="s">
        <v>131</v>
      </c>
      <c r="J500" s="1">
        <v>1</v>
      </c>
    </row>
    <row r="501" spans="8:10">
      <c r="H501" s="1" t="s">
        <v>224</v>
      </c>
      <c r="I501" s="1" t="s">
        <v>157</v>
      </c>
      <c r="J501" s="1">
        <v>1</v>
      </c>
    </row>
    <row r="502" spans="8:10">
      <c r="H502" s="1" t="s">
        <v>224</v>
      </c>
      <c r="I502" s="1" t="s">
        <v>156</v>
      </c>
      <c r="J502" s="1">
        <v>1</v>
      </c>
    </row>
    <row r="503" spans="8:10">
      <c r="H503" s="1" t="s">
        <v>224</v>
      </c>
      <c r="I503" s="1" t="s">
        <v>199</v>
      </c>
      <c r="J503" s="1">
        <v>1</v>
      </c>
    </row>
    <row r="504" spans="8:10">
      <c r="H504" s="1" t="s">
        <v>224</v>
      </c>
      <c r="I504" s="1" t="s">
        <v>193</v>
      </c>
      <c r="J504" s="1">
        <v>1</v>
      </c>
    </row>
    <row r="505" spans="8:10">
      <c r="H505" s="1" t="s">
        <v>937</v>
      </c>
      <c r="I505" s="1" t="s">
        <v>198</v>
      </c>
      <c r="J505" s="1">
        <v>1</v>
      </c>
    </row>
    <row r="506" spans="8:10">
      <c r="H506" s="1" t="s">
        <v>937</v>
      </c>
      <c r="I506" s="1" t="s">
        <v>181</v>
      </c>
      <c r="J506" s="1">
        <v>1</v>
      </c>
    </row>
    <row r="507" spans="8:10">
      <c r="H507" s="1" t="s">
        <v>937</v>
      </c>
      <c r="I507" s="1" t="s">
        <v>204</v>
      </c>
      <c r="J507" s="1">
        <v>1</v>
      </c>
    </row>
    <row r="508" spans="8:10">
      <c r="H508" s="1" t="s">
        <v>890</v>
      </c>
      <c r="I508" s="1" t="s">
        <v>150</v>
      </c>
      <c r="J508" s="1">
        <v>1</v>
      </c>
    </row>
    <row r="509" spans="8:10">
      <c r="H509" s="1" t="s">
        <v>886</v>
      </c>
      <c r="I509" s="1" t="s">
        <v>198</v>
      </c>
      <c r="J509" s="1">
        <v>1</v>
      </c>
    </row>
    <row r="510" spans="8:10">
      <c r="H510" s="1" t="s">
        <v>886</v>
      </c>
      <c r="I510" s="1" t="s">
        <v>181</v>
      </c>
      <c r="J510" s="1">
        <v>1</v>
      </c>
    </row>
    <row r="511" spans="8:10">
      <c r="H511" s="1" t="s">
        <v>886</v>
      </c>
      <c r="I511" s="1" t="s">
        <v>153</v>
      </c>
      <c r="J511" s="1">
        <v>1</v>
      </c>
    </row>
    <row r="512" spans="8:10">
      <c r="H512" s="1" t="s">
        <v>886</v>
      </c>
      <c r="I512" s="1" t="s">
        <v>204</v>
      </c>
      <c r="J512" s="1">
        <v>1</v>
      </c>
    </row>
    <row r="513" spans="8:10">
      <c r="H513" s="1" t="s">
        <v>896</v>
      </c>
      <c r="I513" s="1" t="s">
        <v>202</v>
      </c>
      <c r="J513" s="1">
        <v>1</v>
      </c>
    </row>
    <row r="514" spans="8:10">
      <c r="H514" s="1" t="s">
        <v>932</v>
      </c>
      <c r="I514" s="1" t="s">
        <v>160</v>
      </c>
      <c r="J514" s="1">
        <v>1</v>
      </c>
    </row>
    <row r="515" spans="8:10">
      <c r="H515" s="1" t="s">
        <v>929</v>
      </c>
      <c r="I515" s="1" t="s">
        <v>181</v>
      </c>
      <c r="J515" s="1">
        <v>1</v>
      </c>
    </row>
    <row r="516" spans="8:10">
      <c r="H516" s="1" t="s">
        <v>878</v>
      </c>
      <c r="I516" s="1" t="s">
        <v>199</v>
      </c>
      <c r="J516" s="1">
        <v>1</v>
      </c>
    </row>
    <row r="517" spans="8:10">
      <c r="H517" s="1" t="s">
        <v>943</v>
      </c>
      <c r="I517" s="1" t="s">
        <v>202</v>
      </c>
      <c r="J517" s="1">
        <v>1</v>
      </c>
    </row>
    <row r="518" spans="8:10">
      <c r="H518" s="1" t="s">
        <v>943</v>
      </c>
      <c r="I518" s="1" t="s">
        <v>199</v>
      </c>
      <c r="J518" s="1">
        <v>1</v>
      </c>
    </row>
    <row r="519" spans="8:10">
      <c r="H519" s="1" t="s">
        <v>943</v>
      </c>
      <c r="I519" s="1" t="s">
        <v>135</v>
      </c>
      <c r="J519" s="1">
        <v>1</v>
      </c>
    </row>
    <row r="520" spans="8:10">
      <c r="H520" s="1" t="s">
        <v>943</v>
      </c>
      <c r="I520" s="1" t="s">
        <v>204</v>
      </c>
      <c r="J520" s="1">
        <v>1</v>
      </c>
    </row>
    <row r="521" spans="8:10">
      <c r="H521" s="1" t="s">
        <v>934</v>
      </c>
      <c r="I521" s="1" t="s">
        <v>203</v>
      </c>
      <c r="J521" s="1">
        <v>1</v>
      </c>
    </row>
    <row r="522" spans="8:10">
      <c r="H522" s="1" t="s">
        <v>220</v>
      </c>
      <c r="I522" s="1" t="s">
        <v>146</v>
      </c>
      <c r="J522" s="1">
        <v>1</v>
      </c>
    </row>
    <row r="523" spans="8:10">
      <c r="H523" s="1" t="s">
        <v>220</v>
      </c>
      <c r="I523" s="1" t="s">
        <v>137</v>
      </c>
      <c r="J523" s="1">
        <v>1</v>
      </c>
    </row>
    <row r="524" spans="8:10">
      <c r="H524" s="1" t="s">
        <v>220</v>
      </c>
      <c r="I524" s="1" t="s">
        <v>133</v>
      </c>
      <c r="J524" s="1">
        <v>1</v>
      </c>
    </row>
    <row r="525" spans="8:10">
      <c r="H525" s="1" t="s">
        <v>860</v>
      </c>
      <c r="I525" s="1" t="s">
        <v>194</v>
      </c>
      <c r="J525" s="1">
        <v>1</v>
      </c>
    </row>
    <row r="526" spans="8:10">
      <c r="H526" s="1" t="s">
        <v>860</v>
      </c>
      <c r="I526" s="1" t="s">
        <v>144</v>
      </c>
      <c r="J526" s="1">
        <v>1</v>
      </c>
    </row>
    <row r="527" spans="8:10">
      <c r="H527" s="1" t="s">
        <v>860</v>
      </c>
      <c r="I527" s="1" t="s">
        <v>146</v>
      </c>
      <c r="J527" s="1">
        <v>1</v>
      </c>
    </row>
    <row r="528" spans="8:10">
      <c r="H528" s="1" t="s">
        <v>817</v>
      </c>
      <c r="I528" s="1" t="s">
        <v>158</v>
      </c>
      <c r="J528" s="1">
        <v>1</v>
      </c>
    </row>
    <row r="529" spans="8:10">
      <c r="H529" s="1" t="s">
        <v>817</v>
      </c>
      <c r="I529" s="1" t="s">
        <v>166</v>
      </c>
      <c r="J529" s="1">
        <v>1</v>
      </c>
    </row>
    <row r="530" spans="8:10">
      <c r="H530" s="1" t="s">
        <v>817</v>
      </c>
      <c r="I530" s="1" t="s">
        <v>152</v>
      </c>
      <c r="J530" s="1">
        <v>1</v>
      </c>
    </row>
    <row r="531" spans="8:10">
      <c r="H531" s="1" t="s">
        <v>918</v>
      </c>
      <c r="I531" s="1" t="s">
        <v>153</v>
      </c>
      <c r="J531" s="1">
        <v>1</v>
      </c>
    </row>
    <row r="532" spans="8:10">
      <c r="H532" s="1" t="s">
        <v>918</v>
      </c>
      <c r="I532" s="1" t="s">
        <v>197</v>
      </c>
      <c r="J532" s="1">
        <v>1</v>
      </c>
    </row>
    <row r="533" spans="8:10">
      <c r="H533" s="1" t="s">
        <v>904</v>
      </c>
      <c r="I533" s="1" t="s">
        <v>181</v>
      </c>
      <c r="J533" s="1">
        <v>1</v>
      </c>
    </row>
    <row r="534" spans="8:10">
      <c r="H534" s="1" t="s">
        <v>904</v>
      </c>
      <c r="I534" s="1" t="s">
        <v>204</v>
      </c>
      <c r="J534" s="1">
        <v>1</v>
      </c>
    </row>
    <row r="535" spans="8:10">
      <c r="H535" s="1" t="s">
        <v>873</v>
      </c>
      <c r="I535" s="1" t="s">
        <v>181</v>
      </c>
      <c r="J535" s="1">
        <v>1</v>
      </c>
    </row>
    <row r="536" spans="8:10">
      <c r="H536" s="1" t="s">
        <v>873</v>
      </c>
      <c r="I536" s="1" t="s">
        <v>196</v>
      </c>
      <c r="J536" s="1">
        <v>1</v>
      </c>
    </row>
    <row r="537" spans="8:10">
      <c r="H537" s="1" t="s">
        <v>222</v>
      </c>
      <c r="I537" s="1" t="s">
        <v>148</v>
      </c>
      <c r="J537" s="1">
        <v>1</v>
      </c>
    </row>
    <row r="538" spans="8:10">
      <c r="H538" s="1" t="s">
        <v>222</v>
      </c>
      <c r="I538" s="1" t="s">
        <v>167</v>
      </c>
      <c r="J538" s="1">
        <v>1</v>
      </c>
    </row>
    <row r="539" spans="8:10">
      <c r="H539" s="1" t="s">
        <v>222</v>
      </c>
      <c r="I539" s="1" t="s">
        <v>176</v>
      </c>
      <c r="J539" s="1">
        <v>1</v>
      </c>
    </row>
    <row r="540" spans="8:10">
      <c r="H540" s="1" t="s">
        <v>222</v>
      </c>
      <c r="I540" s="1" t="s">
        <v>169</v>
      </c>
      <c r="J540" s="1">
        <v>1</v>
      </c>
    </row>
    <row r="541" spans="8:10">
      <c r="H541" s="1" t="s">
        <v>877</v>
      </c>
      <c r="I541" s="1" t="s">
        <v>198</v>
      </c>
      <c r="J541" s="1">
        <v>1</v>
      </c>
    </row>
    <row r="542" spans="8:10">
      <c r="H542" s="1" t="s">
        <v>877</v>
      </c>
      <c r="I542" s="1" t="s">
        <v>144</v>
      </c>
      <c r="J542" s="1">
        <v>1</v>
      </c>
    </row>
    <row r="543" spans="8:10">
      <c r="H543" s="1" t="s">
        <v>877</v>
      </c>
      <c r="I543" s="1" t="s">
        <v>133</v>
      </c>
      <c r="J543" s="1">
        <v>1</v>
      </c>
    </row>
    <row r="544" spans="8:10">
      <c r="H544" s="1" t="s">
        <v>877</v>
      </c>
      <c r="I544" s="1" t="s">
        <v>203</v>
      </c>
      <c r="J544" s="1">
        <v>1</v>
      </c>
    </row>
    <row r="545" spans="8:10">
      <c r="H545" s="1" t="s">
        <v>926</v>
      </c>
      <c r="I545" s="1" t="s">
        <v>196</v>
      </c>
      <c r="J545" s="1">
        <v>1</v>
      </c>
    </row>
    <row r="546" spans="8:10">
      <c r="H546" s="1" t="s">
        <v>926</v>
      </c>
      <c r="I546" s="1" t="s">
        <v>202</v>
      </c>
      <c r="J546" s="1">
        <v>1</v>
      </c>
    </row>
    <row r="547" spans="8:10">
      <c r="H547" s="1" t="s">
        <v>926</v>
      </c>
      <c r="I547" s="1" t="s">
        <v>197</v>
      </c>
      <c r="J547" s="1">
        <v>1</v>
      </c>
    </row>
    <row r="548" spans="8:10">
      <c r="H548" s="1" t="s">
        <v>926</v>
      </c>
      <c r="I548" s="1" t="s">
        <v>199</v>
      </c>
      <c r="J548" s="1">
        <v>1</v>
      </c>
    </row>
    <row r="549" spans="8:10">
      <c r="H549" s="1" t="s">
        <v>926</v>
      </c>
      <c r="I549" s="1" t="s">
        <v>203</v>
      </c>
      <c r="J549" s="1">
        <v>1</v>
      </c>
    </row>
    <row r="550" spans="8:10">
      <c r="H550" s="1" t="s">
        <v>923</v>
      </c>
      <c r="I550" s="1" t="s">
        <v>197</v>
      </c>
      <c r="J550" s="1">
        <v>1</v>
      </c>
    </row>
    <row r="551" spans="8:10">
      <c r="H551" s="1" t="s">
        <v>923</v>
      </c>
      <c r="I551" s="1" t="s">
        <v>135</v>
      </c>
      <c r="J551" s="1">
        <v>1</v>
      </c>
    </row>
    <row r="552" spans="8:10">
      <c r="H552" s="1" t="s">
        <v>923</v>
      </c>
      <c r="I552" s="1" t="s">
        <v>203</v>
      </c>
      <c r="J552" s="1">
        <v>1</v>
      </c>
    </row>
    <row r="553" spans="8:10">
      <c r="H553" s="1" t="s">
        <v>961</v>
      </c>
      <c r="I553" s="1" t="s">
        <v>187</v>
      </c>
      <c r="J553" s="1">
        <v>1</v>
      </c>
    </row>
    <row r="554" spans="8:10">
      <c r="H554" s="1" t="s">
        <v>831</v>
      </c>
      <c r="I554" s="1" t="s">
        <v>200</v>
      </c>
      <c r="J554" s="1">
        <v>1</v>
      </c>
    </row>
    <row r="555" spans="8:10">
      <c r="H555" s="1" t="s">
        <v>831</v>
      </c>
      <c r="I555" s="1" t="s">
        <v>151</v>
      </c>
      <c r="J555" s="1">
        <v>1</v>
      </c>
    </row>
    <row r="556" spans="8:10">
      <c r="H556" s="1" t="s">
        <v>831</v>
      </c>
      <c r="I556" s="1" t="s">
        <v>169</v>
      </c>
      <c r="J556" s="1">
        <v>1</v>
      </c>
    </row>
    <row r="557" spans="8:10">
      <c r="H557" s="1" t="s">
        <v>841</v>
      </c>
      <c r="I557" s="1" t="s">
        <v>199</v>
      </c>
      <c r="J557" s="1">
        <v>1</v>
      </c>
    </row>
    <row r="558" spans="8:10">
      <c r="H558" s="1" t="s">
        <v>841</v>
      </c>
      <c r="I558" s="1" t="s">
        <v>201</v>
      </c>
      <c r="J558" s="1">
        <v>1</v>
      </c>
    </row>
    <row r="559" spans="8:10">
      <c r="H559" s="1" t="s">
        <v>959</v>
      </c>
      <c r="I559" s="1" t="s">
        <v>198</v>
      </c>
      <c r="J559" s="1">
        <v>1</v>
      </c>
    </row>
    <row r="560" spans="8:10">
      <c r="H560" s="1" t="s">
        <v>892</v>
      </c>
      <c r="I560" s="1" t="s">
        <v>199</v>
      </c>
      <c r="J560" s="1">
        <v>1</v>
      </c>
    </row>
    <row r="561" spans="8:10">
      <c r="H561" s="1" t="s">
        <v>811</v>
      </c>
      <c r="I561" s="1"/>
      <c r="J561" s="1">
        <v>0</v>
      </c>
    </row>
    <row r="562" spans="8:10">
      <c r="H562" s="1" t="s">
        <v>921</v>
      </c>
      <c r="I562" s="1"/>
      <c r="J562" s="1">
        <v>0</v>
      </c>
    </row>
    <row r="563" spans="8:10">
      <c r="H563" s="1" t="s">
        <v>1051</v>
      </c>
      <c r="I563" s="1"/>
      <c r="J563" s="1">
        <v>0</v>
      </c>
    </row>
  </sheetData>
  <mergeCells count="2">
    <mergeCell ref="A1:H1"/>
    <mergeCell ref="N3:O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13E43-A158-4B33-8C89-F3FD7286B702}">
  <dimension ref="A1:O227"/>
  <sheetViews>
    <sheetView topLeftCell="H1" workbookViewId="0">
      <selection activeCell="V9" sqref="V9"/>
    </sheetView>
  </sheetViews>
  <sheetFormatPr defaultRowHeight="15"/>
  <cols>
    <col min="6" max="6" width="17.140625" customWidth="1"/>
    <col min="8" max="8" width="20" style="4" customWidth="1"/>
    <col min="9" max="9" width="10" style="4" customWidth="1"/>
    <col min="10" max="10" width="21.28515625" style="4" customWidth="1"/>
    <col min="11" max="11" width="8.85546875" customWidth="1"/>
    <col min="12" max="12" width="20.5703125" customWidth="1"/>
    <col min="13" max="13" width="19.7109375" customWidth="1"/>
  </cols>
  <sheetData>
    <row r="1" spans="1:15">
      <c r="A1" s="32" t="s">
        <v>1052</v>
      </c>
      <c r="B1" s="32"/>
      <c r="C1" s="32"/>
      <c r="D1" s="32"/>
      <c r="E1" s="32"/>
      <c r="F1" s="32"/>
      <c r="G1" s="32"/>
      <c r="H1" s="32"/>
      <c r="I1"/>
      <c r="J1"/>
    </row>
    <row r="2" spans="1:15">
      <c r="H2"/>
      <c r="I2"/>
      <c r="J2"/>
    </row>
    <row r="3" spans="1:15">
      <c r="A3" s="3" t="s">
        <v>36</v>
      </c>
      <c r="B3" t="s">
        <v>1053</v>
      </c>
      <c r="G3" s="3" t="s">
        <v>38</v>
      </c>
      <c r="H3" s="20" t="s">
        <v>770</v>
      </c>
      <c r="I3" s="20" t="s">
        <v>127</v>
      </c>
      <c r="J3" s="20" t="s">
        <v>1054</v>
      </c>
      <c r="K3" s="20" t="s">
        <v>328</v>
      </c>
      <c r="L3" s="20" t="s">
        <v>1055</v>
      </c>
      <c r="M3" s="20" t="s">
        <v>1056</v>
      </c>
      <c r="N3" s="31" t="s">
        <v>42</v>
      </c>
      <c r="O3" s="31"/>
    </row>
    <row r="4" spans="1:15">
      <c r="B4" t="s">
        <v>773</v>
      </c>
      <c r="H4" s="1" t="s">
        <v>222</v>
      </c>
      <c r="I4" s="1">
        <v>1896</v>
      </c>
      <c r="J4" s="1">
        <v>14</v>
      </c>
      <c r="K4" s="1">
        <v>2016</v>
      </c>
      <c r="L4" s="1">
        <v>554</v>
      </c>
      <c r="M4" s="1">
        <v>540</v>
      </c>
    </row>
    <row r="5" spans="1:15">
      <c r="B5" t="s">
        <v>775</v>
      </c>
      <c r="H5" s="1" t="s">
        <v>794</v>
      </c>
      <c r="I5" s="1">
        <v>1900</v>
      </c>
      <c r="J5" s="1">
        <v>1</v>
      </c>
      <c r="K5" s="1">
        <v>2016</v>
      </c>
      <c r="L5" s="1">
        <v>464</v>
      </c>
      <c r="M5" s="1">
        <v>463</v>
      </c>
    </row>
    <row r="6" spans="1:15">
      <c r="B6" t="s">
        <v>758</v>
      </c>
      <c r="H6" s="1" t="s">
        <v>851</v>
      </c>
      <c r="I6" s="1">
        <v>1896</v>
      </c>
      <c r="J6" s="1">
        <v>1</v>
      </c>
      <c r="K6" s="1">
        <v>2016</v>
      </c>
      <c r="L6" s="1">
        <v>422</v>
      </c>
      <c r="M6" s="1">
        <v>421</v>
      </c>
    </row>
    <row r="7" spans="1:15">
      <c r="B7" t="s">
        <v>1057</v>
      </c>
      <c r="H7" s="1" t="s">
        <v>786</v>
      </c>
      <c r="I7" s="1">
        <v>1896</v>
      </c>
      <c r="J7" s="1">
        <v>16</v>
      </c>
      <c r="K7" s="1">
        <v>2016</v>
      </c>
      <c r="L7" s="1">
        <v>420</v>
      </c>
      <c r="M7" s="1">
        <v>404</v>
      </c>
    </row>
    <row r="8" spans="1:15">
      <c r="B8" t="s">
        <v>52</v>
      </c>
      <c r="H8" s="1" t="s">
        <v>806</v>
      </c>
      <c r="I8" s="1">
        <v>1932</v>
      </c>
      <c r="J8" s="1">
        <v>1</v>
      </c>
      <c r="K8" s="1">
        <v>2016</v>
      </c>
      <c r="L8" s="1">
        <v>392</v>
      </c>
      <c r="M8" s="1">
        <v>391</v>
      </c>
    </row>
    <row r="9" spans="1:15">
      <c r="B9" t="s">
        <v>1058</v>
      </c>
      <c r="H9" s="1" t="s">
        <v>218</v>
      </c>
      <c r="I9" s="1">
        <v>1896</v>
      </c>
      <c r="J9" s="1">
        <v>9</v>
      </c>
      <c r="K9" s="1">
        <v>2016</v>
      </c>
      <c r="L9" s="1">
        <v>393</v>
      </c>
      <c r="M9" s="1">
        <v>384</v>
      </c>
    </row>
    <row r="10" spans="1:15">
      <c r="B10" t="s">
        <v>1059</v>
      </c>
      <c r="H10" s="1" t="s">
        <v>220</v>
      </c>
      <c r="I10" s="1">
        <v>1896</v>
      </c>
      <c r="J10" s="1">
        <v>7</v>
      </c>
      <c r="K10" s="1">
        <v>2016</v>
      </c>
      <c r="L10" s="1">
        <v>362</v>
      </c>
      <c r="M10" s="1">
        <v>355</v>
      </c>
    </row>
    <row r="11" spans="1:15">
      <c r="B11" t="s">
        <v>1038</v>
      </c>
      <c r="H11" s="1" t="s">
        <v>804</v>
      </c>
      <c r="I11" s="1">
        <v>1912</v>
      </c>
      <c r="J11" s="1">
        <v>2</v>
      </c>
      <c r="K11" s="1">
        <v>2016</v>
      </c>
      <c r="L11" s="1">
        <v>335</v>
      </c>
      <c r="M11" s="1">
        <v>333</v>
      </c>
    </row>
    <row r="12" spans="1:15">
      <c r="B12" t="s">
        <v>1060</v>
      </c>
      <c r="H12" s="1" t="s">
        <v>778</v>
      </c>
      <c r="I12" s="1">
        <v>1900</v>
      </c>
      <c r="J12" s="1">
        <v>3</v>
      </c>
      <c r="K12" s="1">
        <v>2016</v>
      </c>
      <c r="L12" s="1">
        <v>310</v>
      </c>
      <c r="M12" s="1">
        <v>307</v>
      </c>
    </row>
    <row r="13" spans="1:15">
      <c r="B13" t="s">
        <v>787</v>
      </c>
      <c r="H13" s="1" t="s">
        <v>776</v>
      </c>
      <c r="I13" s="1">
        <v>1900</v>
      </c>
      <c r="J13" s="1">
        <v>8</v>
      </c>
      <c r="K13" s="1">
        <v>2016</v>
      </c>
      <c r="L13" s="1">
        <v>310</v>
      </c>
      <c r="M13" s="1">
        <v>302</v>
      </c>
    </row>
    <row r="14" spans="1:15">
      <c r="B14" t="s">
        <v>1061</v>
      </c>
      <c r="H14" s="1" t="s">
        <v>223</v>
      </c>
      <c r="I14" s="1">
        <v>1900</v>
      </c>
      <c r="J14" s="1">
        <v>7</v>
      </c>
      <c r="K14" s="1">
        <v>2016</v>
      </c>
      <c r="L14" s="1">
        <v>309</v>
      </c>
      <c r="M14" s="1">
        <v>302</v>
      </c>
    </row>
    <row r="15" spans="1:15">
      <c r="B15" t="s">
        <v>773</v>
      </c>
      <c r="H15" s="1" t="s">
        <v>809</v>
      </c>
      <c r="I15" s="1">
        <v>1900</v>
      </c>
      <c r="J15" s="1">
        <v>1</v>
      </c>
      <c r="K15" s="1">
        <v>2016</v>
      </c>
      <c r="L15" s="1">
        <v>287</v>
      </c>
      <c r="M15" s="1">
        <v>286</v>
      </c>
    </row>
    <row r="16" spans="1:15">
      <c r="B16" t="s">
        <v>775</v>
      </c>
      <c r="H16" s="1" t="s">
        <v>867</v>
      </c>
      <c r="I16" s="1">
        <v>1912</v>
      </c>
      <c r="J16" s="1">
        <v>2</v>
      </c>
      <c r="K16" s="1">
        <v>2016</v>
      </c>
      <c r="L16" s="1">
        <v>235</v>
      </c>
      <c r="M16" s="1">
        <v>233</v>
      </c>
    </row>
    <row r="17" spans="2:13">
      <c r="B17" t="s">
        <v>1062</v>
      </c>
      <c r="H17" s="1" t="s">
        <v>871</v>
      </c>
      <c r="I17" s="1">
        <v>1900</v>
      </c>
      <c r="J17" s="1">
        <v>1</v>
      </c>
      <c r="K17" s="1">
        <v>2016</v>
      </c>
      <c r="L17" s="1">
        <v>215</v>
      </c>
      <c r="M17" s="1">
        <v>214</v>
      </c>
    </row>
    <row r="18" spans="2:13">
      <c r="B18" t="s">
        <v>1063</v>
      </c>
      <c r="H18" s="1" t="s">
        <v>860</v>
      </c>
      <c r="I18" s="1">
        <v>1980</v>
      </c>
      <c r="J18" s="1">
        <v>1</v>
      </c>
      <c r="K18" s="1">
        <v>2016</v>
      </c>
      <c r="L18" s="1">
        <v>213</v>
      </c>
      <c r="M18" s="1">
        <v>212</v>
      </c>
    </row>
    <row r="19" spans="2:13">
      <c r="B19" t="s">
        <v>1064</v>
      </c>
      <c r="H19" s="1" t="s">
        <v>808</v>
      </c>
      <c r="I19" s="1">
        <v>1936</v>
      </c>
      <c r="J19" s="1">
        <v>2</v>
      </c>
      <c r="K19" s="1">
        <v>2016</v>
      </c>
      <c r="L19" s="1">
        <v>207</v>
      </c>
      <c r="M19" s="1">
        <v>205</v>
      </c>
    </row>
    <row r="20" spans="2:13">
      <c r="B20" t="s">
        <v>1065</v>
      </c>
      <c r="H20" s="1" t="s">
        <v>783</v>
      </c>
      <c r="I20" s="1">
        <v>1900</v>
      </c>
      <c r="J20" s="1">
        <v>35</v>
      </c>
      <c r="K20" s="1">
        <v>2016</v>
      </c>
      <c r="L20" s="1">
        <v>237</v>
      </c>
      <c r="M20" s="1">
        <v>202</v>
      </c>
    </row>
    <row r="21" spans="2:13">
      <c r="B21" t="s">
        <v>799</v>
      </c>
      <c r="H21" s="1" t="s">
        <v>876</v>
      </c>
      <c r="I21" s="1">
        <v>1900</v>
      </c>
      <c r="J21" s="1">
        <v>1</v>
      </c>
      <c r="K21" s="1">
        <v>2016</v>
      </c>
      <c r="L21" s="1">
        <v>195</v>
      </c>
      <c r="M21" s="1">
        <v>194</v>
      </c>
    </row>
    <row r="22" spans="2:13">
      <c r="B22" t="s">
        <v>57</v>
      </c>
      <c r="H22" s="1" t="s">
        <v>833</v>
      </c>
      <c r="I22" s="1">
        <v>1896</v>
      </c>
      <c r="J22" s="1">
        <v>1</v>
      </c>
      <c r="K22" s="1">
        <v>2016</v>
      </c>
      <c r="L22" s="1">
        <v>151</v>
      </c>
      <c r="M22" s="1">
        <v>150</v>
      </c>
    </row>
    <row r="23" spans="2:13">
      <c r="B23" t="s">
        <v>1066</v>
      </c>
      <c r="H23" s="1" t="s">
        <v>789</v>
      </c>
      <c r="I23" s="1">
        <v>1896</v>
      </c>
      <c r="J23" s="1">
        <v>6</v>
      </c>
      <c r="K23" s="1">
        <v>2016</v>
      </c>
      <c r="L23" s="1">
        <v>155</v>
      </c>
      <c r="M23" s="1">
        <v>149</v>
      </c>
    </row>
    <row r="24" spans="2:13">
      <c r="B24" t="s">
        <v>1067</v>
      </c>
      <c r="H24" s="1" t="s">
        <v>914</v>
      </c>
      <c r="I24" s="1">
        <v>1900</v>
      </c>
      <c r="J24" s="1">
        <v>1</v>
      </c>
      <c r="K24" s="1">
        <v>2016</v>
      </c>
      <c r="L24" s="1">
        <v>143</v>
      </c>
      <c r="M24" s="1">
        <v>142</v>
      </c>
    </row>
    <row r="25" spans="2:13">
      <c r="B25" t="s">
        <v>1068</v>
      </c>
      <c r="H25" s="1" t="s">
        <v>810</v>
      </c>
      <c r="I25" s="1">
        <v>1908</v>
      </c>
      <c r="J25" s="1">
        <v>11</v>
      </c>
      <c r="K25" s="1">
        <v>2016</v>
      </c>
      <c r="L25" s="1">
        <v>136</v>
      </c>
      <c r="M25" s="1">
        <v>125</v>
      </c>
    </row>
    <row r="26" spans="2:13">
      <c r="B26" t="s">
        <v>1069</v>
      </c>
      <c r="H26" s="1" t="s">
        <v>894</v>
      </c>
      <c r="I26" s="1">
        <v>1900</v>
      </c>
      <c r="J26" s="1">
        <v>3</v>
      </c>
      <c r="K26" s="1">
        <v>2016</v>
      </c>
      <c r="L26" s="1">
        <v>123</v>
      </c>
      <c r="M26" s="1">
        <v>120</v>
      </c>
    </row>
    <row r="27" spans="2:13">
      <c r="B27" t="s">
        <v>1070</v>
      </c>
      <c r="H27" s="1" t="s">
        <v>800</v>
      </c>
      <c r="I27" s="1">
        <v>1900</v>
      </c>
      <c r="J27" s="1">
        <v>1</v>
      </c>
      <c r="K27" s="1">
        <v>2016</v>
      </c>
      <c r="L27" s="1">
        <v>120</v>
      </c>
      <c r="M27" s="1">
        <v>119</v>
      </c>
    </row>
    <row r="28" spans="2:13">
      <c r="B28" t="s">
        <v>1071</v>
      </c>
      <c r="H28" s="1" t="s">
        <v>933</v>
      </c>
      <c r="I28" s="1">
        <v>1920</v>
      </c>
      <c r="J28" s="1">
        <v>3</v>
      </c>
      <c r="K28" s="1">
        <v>2016</v>
      </c>
      <c r="L28" s="1">
        <v>122</v>
      </c>
      <c r="M28" s="1">
        <v>119</v>
      </c>
    </row>
    <row r="29" spans="2:13">
      <c r="B29" t="s">
        <v>1072</v>
      </c>
      <c r="H29" s="1" t="s">
        <v>843</v>
      </c>
      <c r="I29" s="1">
        <v>1896</v>
      </c>
      <c r="J29" s="1">
        <v>3</v>
      </c>
      <c r="K29" s="1">
        <v>2016</v>
      </c>
      <c r="L29" s="1">
        <v>120</v>
      </c>
      <c r="M29" s="1">
        <v>117</v>
      </c>
    </row>
    <row r="30" spans="2:13">
      <c r="B30" t="s">
        <v>1073</v>
      </c>
      <c r="H30" s="1" t="s">
        <v>859</v>
      </c>
      <c r="I30" s="1">
        <v>1900</v>
      </c>
      <c r="J30" s="1">
        <v>1</v>
      </c>
      <c r="K30" s="1">
        <v>2016</v>
      </c>
      <c r="L30" s="1">
        <v>112</v>
      </c>
      <c r="M30" s="1">
        <v>111</v>
      </c>
    </row>
    <row r="31" spans="2:13">
      <c r="B31" t="s">
        <v>1074</v>
      </c>
      <c r="H31" s="1" t="s">
        <v>862</v>
      </c>
      <c r="I31" s="1">
        <v>1980</v>
      </c>
      <c r="J31" s="1">
        <v>1</v>
      </c>
      <c r="K31" s="1">
        <v>2016</v>
      </c>
      <c r="L31" s="1">
        <v>104</v>
      </c>
      <c r="M31" s="1">
        <v>103</v>
      </c>
    </row>
    <row r="32" spans="2:13">
      <c r="B32" t="s">
        <v>1075</v>
      </c>
      <c r="H32" s="1" t="s">
        <v>865</v>
      </c>
      <c r="I32" s="1">
        <v>1988</v>
      </c>
      <c r="J32" s="1">
        <v>20</v>
      </c>
      <c r="K32" s="1">
        <v>2016</v>
      </c>
      <c r="L32" s="1">
        <v>122</v>
      </c>
      <c r="M32" s="1">
        <v>102</v>
      </c>
    </row>
    <row r="33" spans="2:13">
      <c r="B33" t="s">
        <v>1076</v>
      </c>
      <c r="H33" s="1" t="s">
        <v>828</v>
      </c>
      <c r="I33" s="1">
        <v>1912</v>
      </c>
      <c r="J33" s="1">
        <v>2</v>
      </c>
      <c r="K33" s="1">
        <v>2016</v>
      </c>
      <c r="L33" s="1">
        <v>104</v>
      </c>
      <c r="M33" s="1">
        <v>102</v>
      </c>
    </row>
    <row r="34" spans="2:13">
      <c r="B34" t="s">
        <v>1077</v>
      </c>
      <c r="H34" s="1" t="s">
        <v>224</v>
      </c>
      <c r="I34" s="1">
        <v>1896</v>
      </c>
      <c r="J34" s="1">
        <v>1</v>
      </c>
      <c r="K34" s="1">
        <v>2016</v>
      </c>
      <c r="L34" s="1">
        <v>103</v>
      </c>
      <c r="M34" s="1">
        <v>102</v>
      </c>
    </row>
    <row r="35" spans="2:13">
      <c r="B35" t="s">
        <v>1078</v>
      </c>
      <c r="H35" s="1" t="s">
        <v>885</v>
      </c>
      <c r="I35" s="1">
        <v>1906</v>
      </c>
      <c r="J35" s="1">
        <v>1</v>
      </c>
      <c r="K35" s="1">
        <v>2016</v>
      </c>
      <c r="L35" s="1">
        <v>100</v>
      </c>
      <c r="M35" s="1">
        <v>99</v>
      </c>
    </row>
    <row r="36" spans="2:13">
      <c r="B36" t="s">
        <v>1079</v>
      </c>
      <c r="H36" s="1" t="s">
        <v>881</v>
      </c>
      <c r="I36" s="1">
        <v>1988</v>
      </c>
      <c r="J36" s="1">
        <v>6</v>
      </c>
      <c r="K36" s="1">
        <v>2016</v>
      </c>
      <c r="L36" s="1">
        <v>101</v>
      </c>
      <c r="M36" s="1">
        <v>95</v>
      </c>
    </row>
    <row r="37" spans="2:13">
      <c r="B37" t="s">
        <v>1080</v>
      </c>
      <c r="H37" s="1" t="s">
        <v>852</v>
      </c>
      <c r="I37" s="1">
        <v>1900</v>
      </c>
      <c r="J37" s="1">
        <v>1</v>
      </c>
      <c r="K37" s="1">
        <v>2016</v>
      </c>
      <c r="L37" s="1">
        <v>95</v>
      </c>
      <c r="M37" s="1">
        <v>94</v>
      </c>
    </row>
    <row r="38" spans="2:13">
      <c r="H38" s="1" t="s">
        <v>900</v>
      </c>
      <c r="I38" s="1">
        <v>1912</v>
      </c>
      <c r="J38" s="1">
        <v>5</v>
      </c>
      <c r="K38" s="1">
        <v>2016</v>
      </c>
      <c r="L38" s="1">
        <v>90</v>
      </c>
      <c r="M38" s="1">
        <v>85</v>
      </c>
    </row>
    <row r="39" spans="2:13">
      <c r="H39" s="1" t="s">
        <v>926</v>
      </c>
      <c r="I39" s="1">
        <v>1932</v>
      </c>
      <c r="J39" s="1">
        <v>1</v>
      </c>
      <c r="K39" s="1">
        <v>2016</v>
      </c>
      <c r="L39" s="1">
        <v>85</v>
      </c>
      <c r="M39" s="1">
        <v>84</v>
      </c>
    </row>
    <row r="40" spans="2:13">
      <c r="H40" s="1" t="s">
        <v>837</v>
      </c>
      <c r="I40" s="1">
        <v>1984</v>
      </c>
      <c r="J40" s="1">
        <v>2</v>
      </c>
      <c r="K40" s="1">
        <v>2016</v>
      </c>
      <c r="L40" s="1">
        <v>85</v>
      </c>
      <c r="M40" s="1">
        <v>83</v>
      </c>
    </row>
    <row r="41" spans="2:13">
      <c r="H41" s="1" t="s">
        <v>889</v>
      </c>
      <c r="I41" s="1">
        <v>1896</v>
      </c>
      <c r="J41" s="1">
        <v>12</v>
      </c>
      <c r="K41" s="1">
        <v>2016</v>
      </c>
      <c r="L41" s="1">
        <v>92</v>
      </c>
      <c r="M41" s="1">
        <v>80</v>
      </c>
    </row>
    <row r="42" spans="2:13">
      <c r="H42" s="1" t="s">
        <v>864</v>
      </c>
      <c r="I42" s="1">
        <v>1900</v>
      </c>
      <c r="J42" s="1">
        <v>27</v>
      </c>
      <c r="K42" s="1">
        <v>2016</v>
      </c>
      <c r="L42" s="1">
        <v>104</v>
      </c>
      <c r="M42" s="1">
        <v>77</v>
      </c>
    </row>
    <row r="43" spans="2:13">
      <c r="H43" s="1" t="s">
        <v>905</v>
      </c>
      <c r="I43" s="1">
        <v>1920</v>
      </c>
      <c r="J43" s="1">
        <v>1</v>
      </c>
      <c r="K43" s="1">
        <v>2016</v>
      </c>
      <c r="L43" s="1">
        <v>76</v>
      </c>
      <c r="M43" s="1">
        <v>75</v>
      </c>
    </row>
    <row r="44" spans="2:13">
      <c r="H44" s="1" t="s">
        <v>798</v>
      </c>
      <c r="I44" s="1">
        <v>1896</v>
      </c>
      <c r="J44" s="1">
        <v>3</v>
      </c>
      <c r="K44" s="1">
        <v>2016</v>
      </c>
      <c r="L44" s="1">
        <v>71</v>
      </c>
      <c r="M44" s="1">
        <v>68</v>
      </c>
    </row>
    <row r="45" spans="2:13">
      <c r="H45" s="1" t="s">
        <v>877</v>
      </c>
      <c r="I45" s="1">
        <v>1988</v>
      </c>
      <c r="J45" s="1">
        <v>3</v>
      </c>
      <c r="K45" s="1">
        <v>2016</v>
      </c>
      <c r="L45" s="1">
        <v>70</v>
      </c>
      <c r="M45" s="1">
        <v>67</v>
      </c>
    </row>
    <row r="46" spans="2:13">
      <c r="H46" s="1" t="s">
        <v>861</v>
      </c>
      <c r="I46" s="1">
        <v>1956</v>
      </c>
      <c r="J46" s="1">
        <v>14</v>
      </c>
      <c r="K46" s="1">
        <v>2016</v>
      </c>
      <c r="L46" s="1">
        <v>80</v>
      </c>
      <c r="M46" s="1">
        <v>66</v>
      </c>
    </row>
    <row r="47" spans="2:13">
      <c r="H47" s="1" t="s">
        <v>913</v>
      </c>
      <c r="I47" s="1">
        <v>1960</v>
      </c>
      <c r="J47" s="1">
        <v>1</v>
      </c>
      <c r="K47" s="1">
        <v>2016</v>
      </c>
      <c r="L47" s="1">
        <v>64</v>
      </c>
      <c r="M47" s="1">
        <v>63</v>
      </c>
    </row>
    <row r="48" spans="2:13">
      <c r="H48" s="1" t="s">
        <v>857</v>
      </c>
      <c r="I48" s="1">
        <v>1952</v>
      </c>
      <c r="J48" s="1">
        <v>9</v>
      </c>
      <c r="K48" s="1">
        <v>2016</v>
      </c>
      <c r="L48" s="1">
        <v>71</v>
      </c>
      <c r="M48" s="1">
        <v>62</v>
      </c>
    </row>
    <row r="49" spans="8:13">
      <c r="H49" s="1" t="s">
        <v>887</v>
      </c>
      <c r="I49" s="1">
        <v>1980</v>
      </c>
      <c r="J49" s="1">
        <v>1</v>
      </c>
      <c r="K49" s="1">
        <v>2016</v>
      </c>
      <c r="L49" s="1">
        <v>63</v>
      </c>
      <c r="M49" s="1">
        <v>62</v>
      </c>
    </row>
    <row r="50" spans="8:13">
      <c r="H50" s="1" t="s">
        <v>856</v>
      </c>
      <c r="I50" s="1">
        <v>1924</v>
      </c>
      <c r="J50" s="1">
        <v>9</v>
      </c>
      <c r="K50" s="1">
        <v>2016</v>
      </c>
      <c r="L50" s="1">
        <v>68</v>
      </c>
      <c r="M50" s="1">
        <v>59</v>
      </c>
    </row>
    <row r="51" spans="8:13">
      <c r="H51" s="1" t="s">
        <v>854</v>
      </c>
      <c r="I51" s="1">
        <v>1988</v>
      </c>
      <c r="J51" s="1">
        <v>1</v>
      </c>
      <c r="K51" s="1">
        <v>2016</v>
      </c>
      <c r="L51" s="1">
        <v>57</v>
      </c>
      <c r="M51" s="1">
        <v>56</v>
      </c>
    </row>
    <row r="52" spans="8:13">
      <c r="H52" s="1" t="s">
        <v>790</v>
      </c>
      <c r="I52" s="1">
        <v>1900</v>
      </c>
      <c r="J52" s="1">
        <v>7</v>
      </c>
      <c r="K52" s="1">
        <v>2016</v>
      </c>
      <c r="L52" s="1">
        <v>62</v>
      </c>
      <c r="M52" s="1">
        <v>55</v>
      </c>
    </row>
    <row r="53" spans="8:13">
      <c r="H53" s="1" t="s">
        <v>880</v>
      </c>
      <c r="I53" s="1">
        <v>1948</v>
      </c>
      <c r="J53" s="1">
        <v>10</v>
      </c>
      <c r="K53" s="1">
        <v>2016</v>
      </c>
      <c r="L53" s="1">
        <v>64</v>
      </c>
      <c r="M53" s="1">
        <v>54</v>
      </c>
    </row>
    <row r="54" spans="8:13">
      <c r="H54" s="1" t="s">
        <v>890</v>
      </c>
      <c r="I54" s="1">
        <v>1956</v>
      </c>
      <c r="J54" s="1">
        <v>4</v>
      </c>
      <c r="K54" s="1">
        <v>2016</v>
      </c>
      <c r="L54" s="1">
        <v>55</v>
      </c>
      <c r="M54" s="1">
        <v>51</v>
      </c>
    </row>
    <row r="55" spans="8:13">
      <c r="H55" s="1" t="s">
        <v>882</v>
      </c>
      <c r="I55" s="1">
        <v>1956</v>
      </c>
      <c r="J55" s="1">
        <v>3</v>
      </c>
      <c r="K55" s="1">
        <v>2016</v>
      </c>
      <c r="L55" s="1">
        <v>53</v>
      </c>
      <c r="M55" s="1">
        <v>50</v>
      </c>
    </row>
    <row r="56" spans="8:13">
      <c r="H56" s="1" t="s">
        <v>847</v>
      </c>
      <c r="I56" s="1">
        <v>1906</v>
      </c>
      <c r="J56" s="1">
        <v>4</v>
      </c>
      <c r="K56" s="1">
        <v>2016</v>
      </c>
      <c r="L56" s="1">
        <v>54</v>
      </c>
      <c r="M56" s="1">
        <v>50</v>
      </c>
    </row>
    <row r="57" spans="8:13">
      <c r="H57" s="1" t="s">
        <v>897</v>
      </c>
      <c r="I57" s="1">
        <v>1980</v>
      </c>
      <c r="J57" s="1">
        <v>3</v>
      </c>
      <c r="K57" s="1">
        <v>2016</v>
      </c>
      <c r="L57" s="1">
        <v>51</v>
      </c>
      <c r="M57" s="1">
        <v>48</v>
      </c>
    </row>
    <row r="58" spans="8:13">
      <c r="H58" s="1" t="s">
        <v>850</v>
      </c>
      <c r="I58" s="1">
        <v>1948</v>
      </c>
      <c r="J58" s="1">
        <v>9</v>
      </c>
      <c r="K58" s="1">
        <v>2016</v>
      </c>
      <c r="L58" s="1">
        <v>56</v>
      </c>
      <c r="M58" s="1">
        <v>47</v>
      </c>
    </row>
    <row r="59" spans="8:13">
      <c r="H59" s="1" t="s">
        <v>896</v>
      </c>
      <c r="I59" s="1">
        <v>1952</v>
      </c>
      <c r="J59" s="1">
        <v>8</v>
      </c>
      <c r="K59" s="1">
        <v>2016</v>
      </c>
      <c r="L59" s="1">
        <v>54</v>
      </c>
      <c r="M59" s="1">
        <v>46</v>
      </c>
    </row>
    <row r="60" spans="8:13">
      <c r="H60" s="1" t="s">
        <v>879</v>
      </c>
      <c r="I60" s="1">
        <v>1912</v>
      </c>
      <c r="J60" s="1">
        <v>3</v>
      </c>
      <c r="K60" s="1">
        <v>2016</v>
      </c>
      <c r="L60" s="1">
        <v>46</v>
      </c>
      <c r="M60" s="1">
        <v>43</v>
      </c>
    </row>
    <row r="61" spans="8:13">
      <c r="H61" s="1" t="s">
        <v>855</v>
      </c>
      <c r="I61" s="1">
        <v>1924</v>
      </c>
      <c r="J61" s="1">
        <v>13</v>
      </c>
      <c r="K61" s="1">
        <v>2016</v>
      </c>
      <c r="L61" s="1">
        <v>54</v>
      </c>
      <c r="M61" s="1">
        <v>41</v>
      </c>
    </row>
    <row r="62" spans="8:13">
      <c r="H62" s="1" t="s">
        <v>858</v>
      </c>
      <c r="I62" s="1">
        <v>1980</v>
      </c>
      <c r="J62" s="1">
        <v>1</v>
      </c>
      <c r="K62" s="1">
        <v>2016</v>
      </c>
      <c r="L62" s="1">
        <v>41</v>
      </c>
      <c r="M62" s="1">
        <v>40</v>
      </c>
    </row>
    <row r="63" spans="8:13">
      <c r="H63" s="1" t="s">
        <v>962</v>
      </c>
      <c r="I63" s="1">
        <v>1924</v>
      </c>
      <c r="J63" s="1">
        <v>1</v>
      </c>
      <c r="K63" s="1">
        <v>2016</v>
      </c>
      <c r="L63" s="1">
        <v>37</v>
      </c>
      <c r="M63" s="1">
        <v>36</v>
      </c>
    </row>
    <row r="64" spans="8:13">
      <c r="H64" s="1" t="s">
        <v>825</v>
      </c>
      <c r="I64" s="1">
        <v>1996</v>
      </c>
      <c r="J64" s="1">
        <v>1</v>
      </c>
      <c r="K64" s="1">
        <v>2016</v>
      </c>
      <c r="L64" s="1">
        <v>35</v>
      </c>
      <c r="M64" s="1">
        <v>34</v>
      </c>
    </row>
    <row r="65" spans="8:13">
      <c r="H65" s="1" t="s">
        <v>954</v>
      </c>
      <c r="I65" s="1">
        <v>1952</v>
      </c>
      <c r="J65" s="1">
        <v>4</v>
      </c>
      <c r="K65" s="1">
        <v>2016</v>
      </c>
      <c r="L65" s="1">
        <v>37</v>
      </c>
      <c r="M65" s="1">
        <v>33</v>
      </c>
    </row>
    <row r="66" spans="8:13">
      <c r="H66" s="1" t="s">
        <v>915</v>
      </c>
      <c r="I66" s="1">
        <v>1984</v>
      </c>
      <c r="J66" s="1">
        <v>2</v>
      </c>
      <c r="K66" s="1">
        <v>2016</v>
      </c>
      <c r="L66" s="1">
        <v>33</v>
      </c>
      <c r="M66" s="1">
        <v>31</v>
      </c>
    </row>
    <row r="67" spans="8:13">
      <c r="H67" s="1" t="s">
        <v>870</v>
      </c>
      <c r="I67" s="1">
        <v>1956</v>
      </c>
      <c r="J67" s="1">
        <v>6</v>
      </c>
      <c r="K67" s="1">
        <v>2016</v>
      </c>
      <c r="L67" s="1">
        <v>37</v>
      </c>
      <c r="M67" s="1">
        <v>31</v>
      </c>
    </row>
    <row r="68" spans="8:13">
      <c r="H68" s="1" t="s">
        <v>902</v>
      </c>
      <c r="I68" s="1">
        <v>1956</v>
      </c>
      <c r="J68" s="1">
        <v>1</v>
      </c>
      <c r="K68" s="1">
        <v>2016</v>
      </c>
      <c r="L68" s="1">
        <v>32</v>
      </c>
      <c r="M68" s="1">
        <v>31</v>
      </c>
    </row>
    <row r="69" spans="8:13">
      <c r="H69" s="1" t="s">
        <v>949</v>
      </c>
      <c r="I69" s="1">
        <v>1948</v>
      </c>
      <c r="J69" s="1">
        <v>9</v>
      </c>
      <c r="K69" s="1">
        <v>2016</v>
      </c>
      <c r="L69" s="1">
        <v>40</v>
      </c>
      <c r="M69" s="1">
        <v>31</v>
      </c>
    </row>
    <row r="70" spans="8:13">
      <c r="H70" s="1" t="s">
        <v>898</v>
      </c>
      <c r="I70" s="1">
        <v>1912</v>
      </c>
      <c r="J70" s="1">
        <v>12</v>
      </c>
      <c r="K70" s="1">
        <v>2016</v>
      </c>
      <c r="L70" s="1">
        <v>42</v>
      </c>
      <c r="M70" s="1">
        <v>30</v>
      </c>
    </row>
    <row r="71" spans="8:13">
      <c r="H71" s="1" t="s">
        <v>895</v>
      </c>
      <c r="I71" s="1">
        <v>1912</v>
      </c>
      <c r="J71" s="1">
        <v>3</v>
      </c>
      <c r="K71" s="1">
        <v>2016</v>
      </c>
      <c r="L71" s="1">
        <v>32</v>
      </c>
      <c r="M71" s="1">
        <v>29</v>
      </c>
    </row>
    <row r="72" spans="8:13">
      <c r="H72" s="1" t="s">
        <v>892</v>
      </c>
      <c r="I72" s="1">
        <v>1928</v>
      </c>
      <c r="J72" s="1">
        <v>1</v>
      </c>
      <c r="K72" s="1">
        <v>2016</v>
      </c>
      <c r="L72" s="1">
        <v>30</v>
      </c>
      <c r="M72" s="1">
        <v>29</v>
      </c>
    </row>
    <row r="73" spans="8:13">
      <c r="H73" s="1" t="s">
        <v>901</v>
      </c>
      <c r="I73" s="1">
        <v>1960</v>
      </c>
      <c r="J73" s="1">
        <v>20</v>
      </c>
      <c r="K73" s="1">
        <v>2016</v>
      </c>
      <c r="L73" s="1">
        <v>48</v>
      </c>
      <c r="M73" s="1">
        <v>28</v>
      </c>
    </row>
    <row r="74" spans="8:13">
      <c r="H74" s="1" t="s">
        <v>903</v>
      </c>
      <c r="I74" s="1">
        <v>1900</v>
      </c>
      <c r="J74" s="1">
        <v>1</v>
      </c>
      <c r="K74" s="1">
        <v>2016</v>
      </c>
      <c r="L74" s="1">
        <v>29</v>
      </c>
      <c r="M74" s="1">
        <v>28</v>
      </c>
    </row>
    <row r="75" spans="8:13">
      <c r="H75" s="1" t="s">
        <v>875</v>
      </c>
      <c r="I75" s="1">
        <v>1988</v>
      </c>
      <c r="J75" s="1">
        <v>4</v>
      </c>
      <c r="K75" s="1">
        <v>2016</v>
      </c>
      <c r="L75" s="1">
        <v>31</v>
      </c>
      <c r="M75" s="1">
        <v>27</v>
      </c>
    </row>
    <row r="76" spans="8:13">
      <c r="H76" s="1" t="s">
        <v>866</v>
      </c>
      <c r="I76" s="1">
        <v>1948</v>
      </c>
      <c r="J76" s="1">
        <v>2</v>
      </c>
      <c r="K76" s="1">
        <v>2016</v>
      </c>
      <c r="L76" s="1">
        <v>29</v>
      </c>
      <c r="M76" s="1">
        <v>27</v>
      </c>
    </row>
    <row r="77" spans="8:13">
      <c r="H77" s="1" t="s">
        <v>920</v>
      </c>
      <c r="I77" s="1">
        <v>1984</v>
      </c>
      <c r="J77" s="1">
        <v>11</v>
      </c>
      <c r="K77" s="1">
        <v>2016</v>
      </c>
      <c r="L77" s="1">
        <v>37</v>
      </c>
      <c r="M77" s="1">
        <v>26</v>
      </c>
    </row>
    <row r="78" spans="8:13">
      <c r="H78" s="1" t="s">
        <v>922</v>
      </c>
      <c r="I78" s="1">
        <v>1964</v>
      </c>
      <c r="J78" s="1">
        <v>1</v>
      </c>
      <c r="K78" s="1">
        <v>2016</v>
      </c>
      <c r="L78" s="1">
        <v>26</v>
      </c>
      <c r="M78" s="1">
        <v>25</v>
      </c>
    </row>
    <row r="79" spans="8:13">
      <c r="H79" s="1" t="s">
        <v>872</v>
      </c>
      <c r="I79" s="1">
        <v>1952</v>
      </c>
      <c r="J79" s="1">
        <v>3</v>
      </c>
      <c r="K79" s="1">
        <v>2016</v>
      </c>
      <c r="L79" s="1">
        <v>28</v>
      </c>
      <c r="M79" s="1">
        <v>25</v>
      </c>
    </row>
    <row r="80" spans="8:13">
      <c r="H80" s="1" t="s">
        <v>938</v>
      </c>
      <c r="I80" s="1">
        <v>1952</v>
      </c>
      <c r="J80" s="1">
        <v>25</v>
      </c>
      <c r="K80" s="1">
        <v>2016</v>
      </c>
      <c r="L80" s="1">
        <v>48</v>
      </c>
      <c r="M80" s="1">
        <v>23</v>
      </c>
    </row>
    <row r="81" spans="8:13">
      <c r="H81" s="1" t="s">
        <v>921</v>
      </c>
      <c r="I81" s="1">
        <v>1948</v>
      </c>
      <c r="J81" s="1">
        <v>2</v>
      </c>
      <c r="K81" s="1">
        <v>2016</v>
      </c>
      <c r="L81" s="1">
        <v>25</v>
      </c>
      <c r="M81" s="1">
        <v>23</v>
      </c>
    </row>
    <row r="82" spans="8:13">
      <c r="H82" s="1" t="s">
        <v>878</v>
      </c>
      <c r="I82" s="1">
        <v>1948</v>
      </c>
      <c r="J82" s="1">
        <v>5</v>
      </c>
      <c r="K82" s="1">
        <v>2016</v>
      </c>
      <c r="L82" s="1">
        <v>28</v>
      </c>
      <c r="M82" s="1">
        <v>23</v>
      </c>
    </row>
    <row r="83" spans="8:13">
      <c r="H83" s="1" t="s">
        <v>893</v>
      </c>
      <c r="I83" s="1">
        <v>1988</v>
      </c>
      <c r="J83" s="1">
        <v>3</v>
      </c>
      <c r="K83" s="1">
        <v>2016</v>
      </c>
      <c r="L83" s="1">
        <v>25</v>
      </c>
      <c r="M83" s="1">
        <v>22</v>
      </c>
    </row>
    <row r="84" spans="8:13">
      <c r="H84" s="1" t="s">
        <v>883</v>
      </c>
      <c r="I84" s="1">
        <v>1964</v>
      </c>
      <c r="J84" s="1">
        <v>1</v>
      </c>
      <c r="K84" s="1">
        <v>2016</v>
      </c>
      <c r="L84" s="1">
        <v>22</v>
      </c>
      <c r="M84" s="1">
        <v>21</v>
      </c>
    </row>
    <row r="85" spans="8:13">
      <c r="H85" s="1" t="s">
        <v>964</v>
      </c>
      <c r="I85" s="1">
        <v>1932</v>
      </c>
      <c r="J85" s="1">
        <v>1</v>
      </c>
      <c r="K85" s="1">
        <v>2016</v>
      </c>
      <c r="L85" s="1">
        <v>21</v>
      </c>
      <c r="M85" s="1">
        <v>20</v>
      </c>
    </row>
    <row r="86" spans="8:13">
      <c r="H86" s="1" t="s">
        <v>943</v>
      </c>
      <c r="I86" s="1">
        <v>1960</v>
      </c>
      <c r="J86" s="1">
        <v>42</v>
      </c>
      <c r="K86" s="1">
        <v>2016</v>
      </c>
      <c r="L86" s="1">
        <v>62</v>
      </c>
      <c r="M86" s="1">
        <v>20</v>
      </c>
    </row>
    <row r="87" spans="8:13">
      <c r="H87" s="1" t="s">
        <v>917</v>
      </c>
      <c r="I87" s="1">
        <v>1956</v>
      </c>
      <c r="J87" s="1">
        <v>2</v>
      </c>
      <c r="K87" s="1">
        <v>2016</v>
      </c>
      <c r="L87" s="1">
        <v>21</v>
      </c>
      <c r="M87" s="1">
        <v>19</v>
      </c>
    </row>
    <row r="88" spans="8:13">
      <c r="H88" s="1" t="s">
        <v>909</v>
      </c>
      <c r="I88" s="1">
        <v>1994</v>
      </c>
      <c r="J88" s="1">
        <v>1</v>
      </c>
      <c r="K88" s="1">
        <v>2016</v>
      </c>
      <c r="L88" s="1">
        <v>19</v>
      </c>
      <c r="M88" s="1">
        <v>18</v>
      </c>
    </row>
    <row r="89" spans="8:13">
      <c r="H89" s="1" t="s">
        <v>869</v>
      </c>
      <c r="I89" s="1">
        <v>1964</v>
      </c>
      <c r="J89" s="1">
        <v>13</v>
      </c>
      <c r="K89" s="1">
        <v>2016</v>
      </c>
      <c r="L89" s="1">
        <v>31</v>
      </c>
      <c r="M89" s="1">
        <v>18</v>
      </c>
    </row>
    <row r="90" spans="8:13">
      <c r="H90" s="1" t="s">
        <v>988</v>
      </c>
      <c r="I90" s="1">
        <v>1968</v>
      </c>
      <c r="J90" s="1">
        <v>6</v>
      </c>
      <c r="K90" s="1">
        <v>2016</v>
      </c>
      <c r="L90" s="1">
        <v>23</v>
      </c>
      <c r="M90" s="1">
        <v>17</v>
      </c>
    </row>
    <row r="91" spans="8:13">
      <c r="H91" s="1" t="s">
        <v>967</v>
      </c>
      <c r="I91" s="1">
        <v>1980</v>
      </c>
      <c r="J91" s="1">
        <v>11</v>
      </c>
      <c r="K91" s="1">
        <v>2016</v>
      </c>
      <c r="L91" s="1">
        <v>26</v>
      </c>
      <c r="M91" s="1">
        <v>15</v>
      </c>
    </row>
    <row r="92" spans="8:13">
      <c r="H92" s="1" t="s">
        <v>960</v>
      </c>
      <c r="I92" s="1">
        <v>1976</v>
      </c>
      <c r="J92" s="1">
        <v>1</v>
      </c>
      <c r="K92" s="1">
        <v>2016</v>
      </c>
      <c r="L92" s="1">
        <v>15</v>
      </c>
      <c r="M92" s="1">
        <v>14</v>
      </c>
    </row>
    <row r="93" spans="8:13">
      <c r="H93" s="1" t="s">
        <v>989</v>
      </c>
      <c r="I93" s="1">
        <v>1960</v>
      </c>
      <c r="J93" s="1">
        <v>6</v>
      </c>
      <c r="K93" s="1">
        <v>2016</v>
      </c>
      <c r="L93" s="1">
        <v>20</v>
      </c>
      <c r="M93" s="1">
        <v>14</v>
      </c>
    </row>
    <row r="94" spans="8:13">
      <c r="H94" s="1" t="s">
        <v>928</v>
      </c>
      <c r="I94" s="1">
        <v>1924</v>
      </c>
      <c r="J94" s="1">
        <v>1</v>
      </c>
      <c r="K94" s="1">
        <v>2016</v>
      </c>
      <c r="L94" s="1">
        <v>13</v>
      </c>
      <c r="M94" s="1">
        <v>12</v>
      </c>
    </row>
    <row r="95" spans="8:13">
      <c r="H95" s="1" t="s">
        <v>974</v>
      </c>
      <c r="I95" s="1">
        <v>1936</v>
      </c>
      <c r="J95" s="1">
        <v>1</v>
      </c>
      <c r="K95" s="1">
        <v>2016</v>
      </c>
      <c r="L95" s="1">
        <v>12</v>
      </c>
      <c r="M95" s="1">
        <v>11</v>
      </c>
    </row>
    <row r="96" spans="8:13">
      <c r="H96" s="1" t="s">
        <v>874</v>
      </c>
      <c r="I96" s="1">
        <v>1984</v>
      </c>
      <c r="J96" s="1">
        <v>2</v>
      </c>
      <c r="K96" s="1">
        <v>2016</v>
      </c>
      <c r="L96" s="1">
        <v>13</v>
      </c>
      <c r="M96" s="1">
        <v>11</v>
      </c>
    </row>
    <row r="97" spans="8:13">
      <c r="H97" s="1" t="s">
        <v>963</v>
      </c>
      <c r="I97" s="1">
        <v>1964</v>
      </c>
      <c r="J97" s="1">
        <v>12</v>
      </c>
      <c r="K97" s="1">
        <v>2016</v>
      </c>
      <c r="L97" s="1">
        <v>23</v>
      </c>
      <c r="M97" s="1">
        <v>11</v>
      </c>
    </row>
    <row r="98" spans="8:13">
      <c r="H98" s="1" t="s">
        <v>952</v>
      </c>
      <c r="I98" s="1">
        <v>1936</v>
      </c>
      <c r="J98" s="1">
        <v>1</v>
      </c>
      <c r="K98" s="1">
        <v>2016</v>
      </c>
      <c r="L98" s="1">
        <v>11</v>
      </c>
      <c r="M98" s="1">
        <v>10</v>
      </c>
    </row>
    <row r="99" spans="8:13">
      <c r="H99" s="1" t="s">
        <v>863</v>
      </c>
      <c r="I99" s="1">
        <v>1968</v>
      </c>
      <c r="J99" s="1">
        <v>1</v>
      </c>
      <c r="K99" s="1">
        <v>2016</v>
      </c>
      <c r="L99" s="1">
        <v>11</v>
      </c>
      <c r="M99" s="1">
        <v>10</v>
      </c>
    </row>
    <row r="100" spans="8:13">
      <c r="H100" s="1" t="s">
        <v>911</v>
      </c>
      <c r="I100" s="1">
        <v>2000</v>
      </c>
      <c r="J100" s="1">
        <v>3</v>
      </c>
      <c r="K100" s="1">
        <v>2016</v>
      </c>
      <c r="L100" s="1">
        <v>12</v>
      </c>
      <c r="M100" s="1">
        <v>9</v>
      </c>
    </row>
    <row r="101" spans="8:13">
      <c r="H101" s="1" t="s">
        <v>950</v>
      </c>
      <c r="I101" s="1">
        <v>1900</v>
      </c>
      <c r="J101" s="1">
        <v>1</v>
      </c>
      <c r="K101" s="1">
        <v>2016</v>
      </c>
      <c r="L101" s="1">
        <v>10</v>
      </c>
      <c r="M101" s="1">
        <v>9</v>
      </c>
    </row>
    <row r="102" spans="8:13">
      <c r="H102" s="1" t="s">
        <v>947</v>
      </c>
      <c r="I102" s="1">
        <v>1900</v>
      </c>
      <c r="J102" s="1">
        <v>1</v>
      </c>
      <c r="K102" s="1">
        <v>2016</v>
      </c>
      <c r="L102" s="1">
        <v>10</v>
      </c>
      <c r="M102" s="1">
        <v>9</v>
      </c>
    </row>
    <row r="103" spans="8:13">
      <c r="H103" s="1" t="s">
        <v>888</v>
      </c>
      <c r="I103" s="1">
        <v>1964</v>
      </c>
      <c r="J103" s="1">
        <v>34</v>
      </c>
      <c r="K103" s="1">
        <v>2016</v>
      </c>
      <c r="L103" s="1">
        <v>43</v>
      </c>
      <c r="M103" s="1">
        <v>9</v>
      </c>
    </row>
    <row r="104" spans="8:13">
      <c r="H104" s="1" t="s">
        <v>935</v>
      </c>
      <c r="I104" s="1">
        <v>1928</v>
      </c>
      <c r="J104" s="1">
        <v>1</v>
      </c>
      <c r="K104" s="1">
        <v>2016</v>
      </c>
      <c r="L104" s="1">
        <v>10</v>
      </c>
      <c r="M104" s="1">
        <v>9</v>
      </c>
    </row>
    <row r="105" spans="8:13">
      <c r="H105" s="1" t="s">
        <v>1007</v>
      </c>
      <c r="I105" s="1">
        <v>1964</v>
      </c>
      <c r="J105" s="1">
        <v>2</v>
      </c>
      <c r="K105" s="1">
        <v>2016</v>
      </c>
      <c r="L105" s="1">
        <v>11</v>
      </c>
      <c r="M105" s="1">
        <v>9</v>
      </c>
    </row>
    <row r="106" spans="8:13">
      <c r="H106" s="1" t="s">
        <v>835</v>
      </c>
      <c r="I106" s="1">
        <v>1984</v>
      </c>
      <c r="J106" s="1">
        <v>3</v>
      </c>
      <c r="K106" s="1">
        <v>2016</v>
      </c>
      <c r="L106" s="1">
        <v>12</v>
      </c>
      <c r="M106" s="1">
        <v>9</v>
      </c>
    </row>
    <row r="107" spans="8:13">
      <c r="H107" s="1" t="s">
        <v>918</v>
      </c>
      <c r="I107" s="1">
        <v>1988</v>
      </c>
      <c r="J107" s="1">
        <v>3</v>
      </c>
      <c r="K107" s="1">
        <v>2016</v>
      </c>
      <c r="L107" s="1">
        <v>12</v>
      </c>
      <c r="M107" s="1">
        <v>9</v>
      </c>
    </row>
    <row r="108" spans="8:13">
      <c r="H108" s="1" t="s">
        <v>983</v>
      </c>
      <c r="I108" s="1">
        <v>1932</v>
      </c>
      <c r="J108" s="1">
        <v>1</v>
      </c>
      <c r="K108" s="1">
        <v>2016</v>
      </c>
      <c r="L108" s="1">
        <v>8</v>
      </c>
      <c r="M108" s="1">
        <v>7</v>
      </c>
    </row>
    <row r="109" spans="8:13">
      <c r="H109" s="1" t="s">
        <v>899</v>
      </c>
      <c r="I109" s="1">
        <v>1908</v>
      </c>
      <c r="J109" s="1">
        <v>1</v>
      </c>
      <c r="K109" s="1">
        <v>2016</v>
      </c>
      <c r="L109" s="1">
        <v>8</v>
      </c>
      <c r="M109" s="1">
        <v>7</v>
      </c>
    </row>
    <row r="110" spans="8:13">
      <c r="H110" s="1" t="s">
        <v>1050</v>
      </c>
      <c r="I110" s="1">
        <v>2012</v>
      </c>
      <c r="J110" s="1">
        <v>1</v>
      </c>
      <c r="K110" s="1">
        <v>2016</v>
      </c>
      <c r="L110" s="1">
        <v>8</v>
      </c>
      <c r="M110" s="1">
        <v>7</v>
      </c>
    </row>
    <row r="111" spans="8:13">
      <c r="H111" s="1" t="s">
        <v>924</v>
      </c>
      <c r="I111" s="1">
        <v>1948</v>
      </c>
      <c r="J111" s="1">
        <v>2</v>
      </c>
      <c r="K111" s="1">
        <v>2016</v>
      </c>
      <c r="L111" s="1">
        <v>9</v>
      </c>
      <c r="M111" s="1">
        <v>7</v>
      </c>
    </row>
    <row r="112" spans="8:13">
      <c r="H112" s="1" t="s">
        <v>991</v>
      </c>
      <c r="I112" s="1">
        <v>1972</v>
      </c>
      <c r="J112" s="1">
        <v>1</v>
      </c>
      <c r="K112" s="1">
        <v>2016</v>
      </c>
      <c r="L112" s="1">
        <v>8</v>
      </c>
      <c r="M112" s="1">
        <v>7</v>
      </c>
    </row>
    <row r="113" spans="8:13">
      <c r="H113" s="1" t="s">
        <v>956</v>
      </c>
      <c r="I113" s="1">
        <v>1984</v>
      </c>
      <c r="J113" s="1">
        <v>4</v>
      </c>
      <c r="K113" s="1">
        <v>2016</v>
      </c>
      <c r="L113" s="1">
        <v>11</v>
      </c>
      <c r="M113" s="1">
        <v>7</v>
      </c>
    </row>
    <row r="114" spans="8:13">
      <c r="H114" s="1" t="s">
        <v>969</v>
      </c>
      <c r="I114" s="1">
        <v>1984</v>
      </c>
      <c r="J114" s="1">
        <v>1</v>
      </c>
      <c r="K114" s="1">
        <v>2016</v>
      </c>
      <c r="L114" s="1">
        <v>7</v>
      </c>
      <c r="M114" s="1">
        <v>6</v>
      </c>
    </row>
    <row r="115" spans="8:13">
      <c r="H115" s="1" t="s">
        <v>970</v>
      </c>
      <c r="I115" s="1">
        <v>1984</v>
      </c>
      <c r="J115" s="1">
        <v>1</v>
      </c>
      <c r="K115" s="1">
        <v>2016</v>
      </c>
      <c r="L115" s="1">
        <v>7</v>
      </c>
      <c r="M115" s="1">
        <v>6</v>
      </c>
    </row>
    <row r="116" spans="8:13">
      <c r="H116" s="1" t="s">
        <v>975</v>
      </c>
      <c r="I116" s="1">
        <v>1984</v>
      </c>
      <c r="J116" s="1">
        <v>5</v>
      </c>
      <c r="K116" s="1">
        <v>2016</v>
      </c>
      <c r="L116" s="1">
        <v>11</v>
      </c>
      <c r="M116" s="1">
        <v>6</v>
      </c>
    </row>
    <row r="117" spans="8:13">
      <c r="H117" s="1" t="s">
        <v>884</v>
      </c>
      <c r="I117" s="1">
        <v>1952</v>
      </c>
      <c r="J117" s="1">
        <v>7</v>
      </c>
      <c r="K117" s="1">
        <v>2016</v>
      </c>
      <c r="L117" s="1">
        <v>13</v>
      </c>
      <c r="M117" s="1">
        <v>6</v>
      </c>
    </row>
    <row r="118" spans="8:13">
      <c r="H118" s="1" t="s">
        <v>1081</v>
      </c>
      <c r="I118" s="1">
        <v>1984</v>
      </c>
      <c r="J118" s="1">
        <v>2</v>
      </c>
      <c r="K118" s="1">
        <v>1988</v>
      </c>
      <c r="L118" s="1">
        <v>8</v>
      </c>
      <c r="M118" s="1">
        <v>6</v>
      </c>
    </row>
    <row r="119" spans="8:13">
      <c r="H119" s="1" t="s">
        <v>839</v>
      </c>
      <c r="I119" s="1">
        <v>1936</v>
      </c>
      <c r="J119" s="1">
        <v>1</v>
      </c>
      <c r="K119" s="1">
        <v>2016</v>
      </c>
      <c r="L119" s="1">
        <v>7</v>
      </c>
      <c r="M119" s="1">
        <v>6</v>
      </c>
    </row>
    <row r="120" spans="8:13">
      <c r="H120" s="1" t="s">
        <v>937</v>
      </c>
      <c r="I120" s="1">
        <v>1968</v>
      </c>
      <c r="J120" s="1">
        <v>1</v>
      </c>
      <c r="K120" s="1">
        <v>2016</v>
      </c>
      <c r="L120" s="1">
        <v>7</v>
      </c>
      <c r="M120" s="1">
        <v>6</v>
      </c>
    </row>
    <row r="121" spans="8:13">
      <c r="H121" s="1" t="s">
        <v>907</v>
      </c>
      <c r="I121" s="1">
        <v>1972</v>
      </c>
      <c r="J121" s="1">
        <v>5</v>
      </c>
      <c r="K121" s="1">
        <v>2016</v>
      </c>
      <c r="L121" s="1">
        <v>10</v>
      </c>
      <c r="M121" s="1">
        <v>5</v>
      </c>
    </row>
    <row r="122" spans="8:13">
      <c r="H122" s="1" t="s">
        <v>946</v>
      </c>
      <c r="I122" s="1">
        <v>1980</v>
      </c>
      <c r="J122" s="1">
        <v>7</v>
      </c>
      <c r="K122" s="1">
        <v>2016</v>
      </c>
      <c r="L122" s="1">
        <v>12</v>
      </c>
      <c r="M122" s="1">
        <v>5</v>
      </c>
    </row>
    <row r="123" spans="8:13">
      <c r="H123" s="1" t="s">
        <v>910</v>
      </c>
      <c r="I123" s="1">
        <v>1984</v>
      </c>
      <c r="J123" s="1">
        <v>2</v>
      </c>
      <c r="K123" s="1">
        <v>2016</v>
      </c>
      <c r="L123" s="1">
        <v>7</v>
      </c>
      <c r="M123" s="1">
        <v>5</v>
      </c>
    </row>
    <row r="124" spans="8:13">
      <c r="H124" s="1" t="s">
        <v>941</v>
      </c>
      <c r="I124" s="1">
        <v>1972</v>
      </c>
      <c r="J124" s="1">
        <v>1</v>
      </c>
      <c r="K124" s="1">
        <v>2016</v>
      </c>
      <c r="L124" s="1">
        <v>6</v>
      </c>
      <c r="M124" s="1">
        <v>5</v>
      </c>
    </row>
    <row r="125" spans="8:13">
      <c r="H125" s="1" t="s">
        <v>951</v>
      </c>
      <c r="I125" s="1">
        <v>1948</v>
      </c>
      <c r="J125" s="1">
        <v>1</v>
      </c>
      <c r="K125" s="1">
        <v>2016</v>
      </c>
      <c r="L125" s="1">
        <v>6</v>
      </c>
      <c r="M125" s="1">
        <v>5</v>
      </c>
    </row>
    <row r="126" spans="8:13">
      <c r="H126" s="1" t="s">
        <v>927</v>
      </c>
      <c r="I126" s="1">
        <v>1964</v>
      </c>
      <c r="J126" s="1">
        <v>7</v>
      </c>
      <c r="K126" s="1">
        <v>2016</v>
      </c>
      <c r="L126" s="1">
        <v>12</v>
      </c>
      <c r="M126" s="1">
        <v>5</v>
      </c>
    </row>
    <row r="127" spans="8:13">
      <c r="H127" s="1" t="s">
        <v>908</v>
      </c>
      <c r="I127" s="1">
        <v>1984</v>
      </c>
      <c r="J127" s="1">
        <v>1</v>
      </c>
      <c r="K127" s="1">
        <v>2016</v>
      </c>
      <c r="L127" s="1">
        <v>6</v>
      </c>
      <c r="M127" s="1">
        <v>5</v>
      </c>
    </row>
    <row r="128" spans="8:13">
      <c r="H128" s="1" t="s">
        <v>1005</v>
      </c>
      <c r="I128" s="1">
        <v>1996</v>
      </c>
      <c r="J128" s="1">
        <v>1</v>
      </c>
      <c r="K128" s="1">
        <v>2016</v>
      </c>
      <c r="L128" s="1">
        <v>6</v>
      </c>
      <c r="M128" s="1">
        <v>5</v>
      </c>
    </row>
    <row r="129" spans="8:13">
      <c r="H129" s="1" t="s">
        <v>939</v>
      </c>
      <c r="I129" s="1">
        <v>1948</v>
      </c>
      <c r="J129" s="1">
        <v>4</v>
      </c>
      <c r="K129" s="1">
        <v>2016</v>
      </c>
      <c r="L129" s="1">
        <v>9</v>
      </c>
      <c r="M129" s="1">
        <v>5</v>
      </c>
    </row>
    <row r="130" spans="8:13">
      <c r="H130" s="1" t="s">
        <v>919</v>
      </c>
      <c r="I130" s="1">
        <v>1968</v>
      </c>
      <c r="J130" s="1">
        <v>1</v>
      </c>
      <c r="K130" s="1">
        <v>2016</v>
      </c>
      <c r="L130" s="1">
        <v>6</v>
      </c>
      <c r="M130" s="1">
        <v>5</v>
      </c>
    </row>
    <row r="131" spans="8:13">
      <c r="H131" s="1" t="s">
        <v>972</v>
      </c>
      <c r="I131" s="1">
        <v>1972</v>
      </c>
      <c r="J131" s="1">
        <v>2</v>
      </c>
      <c r="K131" s="1">
        <v>2016</v>
      </c>
      <c r="L131" s="1">
        <v>6</v>
      </c>
      <c r="M131" s="1">
        <v>4</v>
      </c>
    </row>
    <row r="132" spans="8:13">
      <c r="H132" s="1" t="s">
        <v>976</v>
      </c>
      <c r="I132" s="1">
        <v>1972</v>
      </c>
      <c r="J132" s="1">
        <v>1</v>
      </c>
      <c r="K132" s="1">
        <v>2016</v>
      </c>
      <c r="L132" s="1">
        <v>5</v>
      </c>
      <c r="M132" s="1">
        <v>4</v>
      </c>
    </row>
    <row r="133" spans="8:13">
      <c r="H133" s="1" t="s">
        <v>977</v>
      </c>
      <c r="I133" s="1">
        <v>1956</v>
      </c>
      <c r="J133" s="1">
        <v>2</v>
      </c>
      <c r="K133" s="1">
        <v>2016</v>
      </c>
      <c r="L133" s="1">
        <v>6</v>
      </c>
      <c r="M133" s="1">
        <v>4</v>
      </c>
    </row>
    <row r="134" spans="8:13">
      <c r="H134" s="1" t="s">
        <v>986</v>
      </c>
      <c r="I134" s="1">
        <v>1984</v>
      </c>
      <c r="J134" s="1">
        <v>1</v>
      </c>
      <c r="K134" s="1">
        <v>2016</v>
      </c>
      <c r="L134" s="1">
        <v>5</v>
      </c>
      <c r="M134" s="1">
        <v>4</v>
      </c>
    </row>
    <row r="135" spans="8:13">
      <c r="H135" s="1" t="s">
        <v>987</v>
      </c>
      <c r="I135" s="1">
        <v>1968</v>
      </c>
      <c r="J135" s="1">
        <v>1</v>
      </c>
      <c r="K135" s="1">
        <v>2016</v>
      </c>
      <c r="L135" s="1">
        <v>5</v>
      </c>
      <c r="M135" s="1">
        <v>4</v>
      </c>
    </row>
    <row r="136" spans="8:13">
      <c r="H136" s="1" t="s">
        <v>945</v>
      </c>
      <c r="I136" s="1">
        <v>1980</v>
      </c>
      <c r="J136" s="1">
        <v>4</v>
      </c>
      <c r="K136" s="1">
        <v>2016</v>
      </c>
      <c r="L136" s="1">
        <v>8</v>
      </c>
      <c r="M136" s="1">
        <v>4</v>
      </c>
    </row>
    <row r="137" spans="8:13">
      <c r="H137" s="1" t="s">
        <v>997</v>
      </c>
      <c r="I137" s="1">
        <v>1964</v>
      </c>
      <c r="J137" s="1">
        <v>2</v>
      </c>
      <c r="K137" s="1">
        <v>2016</v>
      </c>
      <c r="L137" s="1">
        <v>6</v>
      </c>
      <c r="M137" s="1">
        <v>4</v>
      </c>
    </row>
    <row r="138" spans="8:13">
      <c r="H138" s="1" t="s">
        <v>931</v>
      </c>
      <c r="I138" s="1">
        <v>1992</v>
      </c>
      <c r="J138" s="1">
        <v>6</v>
      </c>
      <c r="K138" s="1">
        <v>2016</v>
      </c>
      <c r="L138" s="1">
        <v>10</v>
      </c>
      <c r="M138" s="1">
        <v>4</v>
      </c>
    </row>
    <row r="139" spans="8:13">
      <c r="H139" s="1" t="s">
        <v>1001</v>
      </c>
      <c r="I139" s="1">
        <v>1964</v>
      </c>
      <c r="J139" s="1">
        <v>3</v>
      </c>
      <c r="K139" s="1">
        <v>2016</v>
      </c>
      <c r="L139" s="1">
        <v>7</v>
      </c>
      <c r="M139" s="1">
        <v>4</v>
      </c>
    </row>
    <row r="140" spans="8:13">
      <c r="H140" s="1" t="s">
        <v>916</v>
      </c>
      <c r="I140" s="1">
        <v>1984</v>
      </c>
      <c r="J140" s="1">
        <v>2</v>
      </c>
      <c r="K140" s="1">
        <v>2016</v>
      </c>
      <c r="L140" s="1">
        <v>6</v>
      </c>
      <c r="M140" s="1">
        <v>4</v>
      </c>
    </row>
    <row r="141" spans="8:13">
      <c r="H141" s="1" t="s">
        <v>1008</v>
      </c>
      <c r="I141" s="1">
        <v>1984</v>
      </c>
      <c r="J141" s="1">
        <v>3</v>
      </c>
      <c r="K141" s="1">
        <v>2016</v>
      </c>
      <c r="L141" s="1">
        <v>7</v>
      </c>
      <c r="M141" s="1">
        <v>4</v>
      </c>
    </row>
    <row r="142" spans="8:13">
      <c r="H142" s="1" t="s">
        <v>1009</v>
      </c>
      <c r="I142" s="1">
        <v>1988</v>
      </c>
      <c r="J142" s="1">
        <v>1</v>
      </c>
      <c r="K142" s="1">
        <v>2016</v>
      </c>
      <c r="L142" s="1">
        <v>5</v>
      </c>
      <c r="M142" s="1">
        <v>4</v>
      </c>
    </row>
    <row r="143" spans="8:13">
      <c r="H143" s="1" t="s">
        <v>1014</v>
      </c>
      <c r="I143" s="1">
        <v>1960</v>
      </c>
      <c r="J143" s="1">
        <v>1</v>
      </c>
      <c r="K143" s="1">
        <v>2016</v>
      </c>
      <c r="L143" s="1">
        <v>5</v>
      </c>
      <c r="M143" s="1">
        <v>4</v>
      </c>
    </row>
    <row r="144" spans="8:13">
      <c r="H144" s="1" t="s">
        <v>904</v>
      </c>
      <c r="I144" s="1">
        <v>1948</v>
      </c>
      <c r="J144" s="1">
        <v>1</v>
      </c>
      <c r="K144" s="1">
        <v>1968</v>
      </c>
      <c r="L144" s="1">
        <v>5</v>
      </c>
      <c r="M144" s="1">
        <v>4</v>
      </c>
    </row>
    <row r="145" spans="8:13">
      <c r="H145" s="1" t="s">
        <v>961</v>
      </c>
      <c r="I145" s="1">
        <v>1968</v>
      </c>
      <c r="J145" s="1">
        <v>4</v>
      </c>
      <c r="K145" s="1">
        <v>2016</v>
      </c>
      <c r="L145" s="1">
        <v>8</v>
      </c>
      <c r="M145" s="1">
        <v>4</v>
      </c>
    </row>
    <row r="146" spans="8:13">
      <c r="H146" s="1" t="s">
        <v>958</v>
      </c>
      <c r="I146" s="1">
        <v>1936</v>
      </c>
      <c r="J146" s="1">
        <v>5</v>
      </c>
      <c r="K146" s="1">
        <v>2016</v>
      </c>
      <c r="L146" s="1">
        <v>8</v>
      </c>
      <c r="M146" s="1">
        <v>3</v>
      </c>
    </row>
    <row r="147" spans="8:13">
      <c r="H147" s="1" t="s">
        <v>978</v>
      </c>
      <c r="I147" s="1">
        <v>1976</v>
      </c>
      <c r="J147" s="1">
        <v>2</v>
      </c>
      <c r="K147" s="1">
        <v>2016</v>
      </c>
      <c r="L147" s="1">
        <v>5</v>
      </c>
      <c r="M147" s="1">
        <v>3</v>
      </c>
    </row>
    <row r="148" spans="8:13">
      <c r="H148" s="1" t="s">
        <v>979</v>
      </c>
      <c r="I148" s="1">
        <v>1984</v>
      </c>
      <c r="J148" s="1">
        <v>3</v>
      </c>
      <c r="K148" s="1">
        <v>2016</v>
      </c>
      <c r="L148" s="1">
        <v>6</v>
      </c>
      <c r="M148" s="1">
        <v>3</v>
      </c>
    </row>
    <row r="149" spans="8:13">
      <c r="H149" s="1" t="s">
        <v>930</v>
      </c>
      <c r="I149" s="1">
        <v>1984</v>
      </c>
      <c r="J149" s="1">
        <v>3</v>
      </c>
      <c r="K149" s="1">
        <v>2016</v>
      </c>
      <c r="L149" s="1">
        <v>6</v>
      </c>
      <c r="M149" s="1">
        <v>3</v>
      </c>
    </row>
    <row r="150" spans="8:13">
      <c r="H150" s="1" t="s">
        <v>993</v>
      </c>
      <c r="I150" s="1">
        <v>1988</v>
      </c>
      <c r="J150" s="1">
        <v>4</v>
      </c>
      <c r="K150" s="1">
        <v>2016</v>
      </c>
      <c r="L150" s="1">
        <v>7</v>
      </c>
      <c r="M150" s="1">
        <v>3</v>
      </c>
    </row>
    <row r="151" spans="8:13">
      <c r="H151" s="1" t="s">
        <v>994</v>
      </c>
      <c r="I151" s="1">
        <v>1964</v>
      </c>
      <c r="J151" s="1">
        <v>3</v>
      </c>
      <c r="K151" s="1">
        <v>2016</v>
      </c>
      <c r="L151" s="1">
        <v>6</v>
      </c>
      <c r="M151" s="1">
        <v>3</v>
      </c>
    </row>
    <row r="152" spans="8:13">
      <c r="H152" s="1" t="s">
        <v>942</v>
      </c>
      <c r="I152" s="1">
        <v>1964</v>
      </c>
      <c r="J152" s="1">
        <v>4</v>
      </c>
      <c r="K152" s="1">
        <v>2016</v>
      </c>
      <c r="L152" s="1">
        <v>7</v>
      </c>
      <c r="M152" s="1">
        <v>3</v>
      </c>
    </row>
    <row r="153" spans="8:13">
      <c r="H153" s="1" t="s">
        <v>934</v>
      </c>
      <c r="I153" s="1">
        <v>1996</v>
      </c>
      <c r="J153" s="1">
        <v>7</v>
      </c>
      <c r="K153" s="1">
        <v>2016</v>
      </c>
      <c r="L153" s="1">
        <v>10</v>
      </c>
      <c r="M153" s="1">
        <v>3</v>
      </c>
    </row>
    <row r="154" spans="8:13">
      <c r="H154" s="1" t="s">
        <v>957</v>
      </c>
      <c r="I154" s="1">
        <v>1968</v>
      </c>
      <c r="J154" s="1">
        <v>9</v>
      </c>
      <c r="K154" s="1">
        <v>2016</v>
      </c>
      <c r="L154" s="1">
        <v>11</v>
      </c>
      <c r="M154" s="1">
        <v>2</v>
      </c>
    </row>
    <row r="155" spans="8:13">
      <c r="H155" s="1" t="s">
        <v>1082</v>
      </c>
      <c r="I155" s="1">
        <v>1996</v>
      </c>
      <c r="J155" s="1">
        <v>1</v>
      </c>
      <c r="K155" s="1">
        <v>2016</v>
      </c>
      <c r="L155" s="1">
        <v>3</v>
      </c>
      <c r="M155" s="1">
        <v>2</v>
      </c>
    </row>
    <row r="156" spans="8:13">
      <c r="H156" s="1" t="s">
        <v>891</v>
      </c>
      <c r="I156" s="1">
        <v>1996</v>
      </c>
      <c r="J156" s="1">
        <v>7</v>
      </c>
      <c r="K156" s="1">
        <v>2016</v>
      </c>
      <c r="L156" s="1">
        <v>9</v>
      </c>
      <c r="M156" s="1">
        <v>2</v>
      </c>
    </row>
    <row r="157" spans="8:13">
      <c r="H157" s="1" t="s">
        <v>1083</v>
      </c>
      <c r="I157" s="1">
        <v>1996</v>
      </c>
      <c r="J157" s="1">
        <v>3</v>
      </c>
      <c r="K157" s="1">
        <v>2016</v>
      </c>
      <c r="L157" s="1">
        <v>5</v>
      </c>
      <c r="M157" s="1">
        <v>2</v>
      </c>
    </row>
    <row r="158" spans="8:13">
      <c r="H158" s="1" t="s">
        <v>981</v>
      </c>
      <c r="I158" s="1">
        <v>1988</v>
      </c>
      <c r="J158" s="1">
        <v>7</v>
      </c>
      <c r="K158" s="1">
        <v>2016</v>
      </c>
      <c r="L158" s="1">
        <v>9</v>
      </c>
      <c r="M158" s="1">
        <v>2</v>
      </c>
    </row>
    <row r="159" spans="8:13">
      <c r="H159" s="1" t="s">
        <v>1084</v>
      </c>
      <c r="I159" s="1">
        <v>1996</v>
      </c>
      <c r="J159" s="1">
        <v>3</v>
      </c>
      <c r="K159" s="1">
        <v>2016</v>
      </c>
      <c r="L159" s="1">
        <v>5</v>
      </c>
      <c r="M159" s="1">
        <v>2</v>
      </c>
    </row>
    <row r="160" spans="8:13">
      <c r="H160" s="1" t="s">
        <v>998</v>
      </c>
      <c r="I160" s="1">
        <v>1928</v>
      </c>
      <c r="J160" s="1">
        <v>5</v>
      </c>
      <c r="K160" s="1">
        <v>2016</v>
      </c>
      <c r="L160" s="1">
        <v>7</v>
      </c>
      <c r="M160" s="1">
        <v>2</v>
      </c>
    </row>
    <row r="161" spans="8:13">
      <c r="H161" s="1" t="s">
        <v>1000</v>
      </c>
      <c r="I161" s="1">
        <v>1952</v>
      </c>
      <c r="J161" s="1">
        <v>5</v>
      </c>
      <c r="K161" s="1">
        <v>2016</v>
      </c>
      <c r="L161" s="1">
        <v>7</v>
      </c>
      <c r="M161" s="1">
        <v>2</v>
      </c>
    </row>
    <row r="162" spans="8:13">
      <c r="H162" s="1" t="s">
        <v>1006</v>
      </c>
      <c r="I162" s="1">
        <v>1976</v>
      </c>
      <c r="J162" s="1">
        <v>6</v>
      </c>
      <c r="K162" s="1">
        <v>2016</v>
      </c>
      <c r="L162" s="1">
        <v>8</v>
      </c>
      <c r="M162" s="1">
        <v>2</v>
      </c>
    </row>
    <row r="163" spans="8:13">
      <c r="H163" s="1" t="s">
        <v>1085</v>
      </c>
      <c r="I163" s="1">
        <v>2012</v>
      </c>
      <c r="J163" s="1">
        <v>1</v>
      </c>
      <c r="K163" s="1">
        <v>2016</v>
      </c>
      <c r="L163" s="1">
        <v>3</v>
      </c>
      <c r="M163" s="1">
        <v>2</v>
      </c>
    </row>
    <row r="164" spans="8:13">
      <c r="H164" s="1" t="s">
        <v>1086</v>
      </c>
      <c r="I164" s="1">
        <v>2000</v>
      </c>
      <c r="J164" s="1">
        <v>1</v>
      </c>
      <c r="K164" s="1">
        <v>2016</v>
      </c>
      <c r="L164" s="1">
        <v>3</v>
      </c>
      <c r="M164" s="1">
        <v>2</v>
      </c>
    </row>
    <row r="165" spans="8:13">
      <c r="H165" s="1" t="s">
        <v>980</v>
      </c>
      <c r="I165" s="1">
        <v>1960</v>
      </c>
      <c r="J165" s="1">
        <v>1</v>
      </c>
      <c r="K165" s="1">
        <v>2016</v>
      </c>
      <c r="L165" s="1">
        <v>2</v>
      </c>
      <c r="M165" s="1">
        <v>1</v>
      </c>
    </row>
    <row r="166" spans="8:13">
      <c r="H166" s="1" t="s">
        <v>955</v>
      </c>
      <c r="I166" s="1">
        <v>1972</v>
      </c>
      <c r="J166" s="1">
        <v>4</v>
      </c>
      <c r="K166" s="1">
        <v>2016</v>
      </c>
      <c r="L166" s="1">
        <v>5</v>
      </c>
      <c r="M166" s="1">
        <v>1</v>
      </c>
    </row>
    <row r="167" spans="8:13">
      <c r="H167" s="1" t="s">
        <v>999</v>
      </c>
      <c r="I167" s="1">
        <v>1984</v>
      </c>
      <c r="J167" s="1">
        <v>1</v>
      </c>
      <c r="K167" s="1">
        <v>2016</v>
      </c>
      <c r="L167" s="1">
        <v>2</v>
      </c>
      <c r="M167" s="1">
        <v>1</v>
      </c>
    </row>
    <row r="168" spans="8:13">
      <c r="H168" s="1" t="s">
        <v>936</v>
      </c>
      <c r="I168" s="1">
        <v>1980</v>
      </c>
      <c r="J168" s="1">
        <v>5</v>
      </c>
      <c r="K168" s="1">
        <v>2016</v>
      </c>
      <c r="L168" s="1">
        <v>6</v>
      </c>
      <c r="M168" s="1">
        <v>1</v>
      </c>
    </row>
    <row r="169" spans="8:13">
      <c r="H169" s="1" t="s">
        <v>1087</v>
      </c>
      <c r="I169" s="1">
        <v>1992</v>
      </c>
      <c r="J169" s="1">
        <v>1</v>
      </c>
      <c r="K169" s="1">
        <v>2016</v>
      </c>
      <c r="L169" s="1">
        <v>2</v>
      </c>
      <c r="M169" s="1">
        <v>1</v>
      </c>
    </row>
    <row r="170" spans="8:13">
      <c r="H170" s="1" t="s">
        <v>1088</v>
      </c>
      <c r="I170" s="1">
        <v>1996</v>
      </c>
      <c r="J170" s="1">
        <v>2</v>
      </c>
      <c r="K170" s="1">
        <v>2016</v>
      </c>
      <c r="L170" s="1">
        <v>3</v>
      </c>
      <c r="M170" s="1">
        <v>1</v>
      </c>
    </row>
    <row r="171" spans="8:13">
      <c r="H171" s="1" t="s">
        <v>1089</v>
      </c>
      <c r="I171" s="1">
        <v>1984</v>
      </c>
      <c r="J171" s="1">
        <v>2</v>
      </c>
      <c r="K171" s="1">
        <v>2016</v>
      </c>
      <c r="L171" s="1">
        <v>3</v>
      </c>
      <c r="M171" s="1">
        <v>1</v>
      </c>
    </row>
    <row r="172" spans="8:13">
      <c r="H172" s="1" t="s">
        <v>817</v>
      </c>
      <c r="I172" s="1">
        <v>1976</v>
      </c>
      <c r="J172" s="1">
        <v>2</v>
      </c>
      <c r="K172" s="1">
        <v>2016</v>
      </c>
      <c r="L172" s="1">
        <v>3</v>
      </c>
      <c r="M172" s="1">
        <v>1</v>
      </c>
    </row>
    <row r="173" spans="8:13">
      <c r="H173" s="1" t="s">
        <v>1090</v>
      </c>
      <c r="I173" s="1">
        <v>1996</v>
      </c>
      <c r="J173" s="1">
        <v>4</v>
      </c>
      <c r="K173" s="1">
        <v>2016</v>
      </c>
      <c r="L173" s="1">
        <v>4</v>
      </c>
      <c r="M173" s="1">
        <v>0</v>
      </c>
    </row>
    <row r="174" spans="8:13">
      <c r="H174" s="1" t="s">
        <v>853</v>
      </c>
      <c r="I174" s="1">
        <v>1900</v>
      </c>
      <c r="J174" s="1">
        <v>1</v>
      </c>
      <c r="K174" s="1">
        <v>2012</v>
      </c>
      <c r="L174" s="1">
        <v>1</v>
      </c>
      <c r="M174" s="1">
        <v>0</v>
      </c>
    </row>
    <row r="175" spans="8:13">
      <c r="H175" s="1" t="s">
        <v>1091</v>
      </c>
      <c r="I175" s="1">
        <v>2004</v>
      </c>
      <c r="J175" s="1">
        <v>3</v>
      </c>
      <c r="K175" s="1">
        <v>2016</v>
      </c>
      <c r="L175" s="1">
        <v>3</v>
      </c>
      <c r="M175" s="1">
        <v>0</v>
      </c>
    </row>
    <row r="176" spans="8:13">
      <c r="H176" s="1" t="s">
        <v>1092</v>
      </c>
      <c r="I176" s="1">
        <v>2008</v>
      </c>
      <c r="J176" s="1">
        <v>5</v>
      </c>
      <c r="K176" s="1">
        <v>2016</v>
      </c>
      <c r="L176" s="1">
        <v>5</v>
      </c>
      <c r="M176" s="1">
        <v>0</v>
      </c>
    </row>
    <row r="177" spans="8:13">
      <c r="H177" s="1" t="s">
        <v>1093</v>
      </c>
      <c r="I177" s="1">
        <v>2000</v>
      </c>
      <c r="J177" s="1">
        <v>5</v>
      </c>
      <c r="K177" s="1">
        <v>2016</v>
      </c>
      <c r="L177" s="1">
        <v>5</v>
      </c>
      <c r="M177" s="1">
        <v>0</v>
      </c>
    </row>
    <row r="178" spans="8:13">
      <c r="H178" s="1" t="s">
        <v>1094</v>
      </c>
      <c r="I178" s="1">
        <v>1904</v>
      </c>
      <c r="J178" s="1">
        <v>1</v>
      </c>
      <c r="K178" s="1">
        <v>1906</v>
      </c>
      <c r="L178" s="1">
        <v>1</v>
      </c>
      <c r="M178" s="1">
        <v>0</v>
      </c>
    </row>
    <row r="179" spans="8:13">
      <c r="H179" s="1" t="s">
        <v>1004</v>
      </c>
      <c r="I179" s="1">
        <v>2000</v>
      </c>
      <c r="J179" s="1">
        <v>5</v>
      </c>
      <c r="K179" s="1">
        <v>2016</v>
      </c>
      <c r="L179" s="1">
        <v>5</v>
      </c>
      <c r="M179" s="1">
        <v>0</v>
      </c>
    </row>
    <row r="180" spans="8:13">
      <c r="H180" s="1" t="s">
        <v>1011</v>
      </c>
      <c r="I180" s="1">
        <v>1984</v>
      </c>
      <c r="J180" s="1">
        <v>8</v>
      </c>
      <c r="K180" s="1">
        <v>2016</v>
      </c>
      <c r="L180" s="1">
        <v>8</v>
      </c>
      <c r="M180" s="1">
        <v>0</v>
      </c>
    </row>
    <row r="181" spans="8:13">
      <c r="H181" s="1" t="s">
        <v>906</v>
      </c>
      <c r="I181" s="1">
        <v>1972</v>
      </c>
      <c r="J181" s="1">
        <v>10</v>
      </c>
      <c r="K181" s="1">
        <v>2016</v>
      </c>
      <c r="L181" s="1">
        <v>10</v>
      </c>
      <c r="M181" s="1">
        <v>0</v>
      </c>
    </row>
    <row r="182" spans="8:13">
      <c r="H182" s="1" t="s">
        <v>1015</v>
      </c>
      <c r="I182" s="1">
        <v>1972</v>
      </c>
      <c r="J182" s="1">
        <v>2</v>
      </c>
      <c r="K182" s="1">
        <v>2016</v>
      </c>
      <c r="L182" s="1">
        <v>2</v>
      </c>
      <c r="M182" s="1">
        <v>0</v>
      </c>
    </row>
    <row r="183" spans="8:13">
      <c r="H183" s="1" t="s">
        <v>929</v>
      </c>
      <c r="I183" s="1">
        <v>1984</v>
      </c>
      <c r="J183" s="1">
        <v>7</v>
      </c>
      <c r="K183" s="1">
        <v>2016</v>
      </c>
      <c r="L183" s="1">
        <v>7</v>
      </c>
      <c r="M183" s="1">
        <v>0</v>
      </c>
    </row>
    <row r="184" spans="8:13">
      <c r="H184" s="1" t="s">
        <v>1016</v>
      </c>
      <c r="I184" s="1">
        <v>1988</v>
      </c>
      <c r="J184" s="1">
        <v>4</v>
      </c>
      <c r="K184" s="1">
        <v>2016</v>
      </c>
      <c r="L184" s="1">
        <v>4</v>
      </c>
      <c r="M184" s="1">
        <v>0</v>
      </c>
    </row>
    <row r="185" spans="8:13">
      <c r="H185" s="1" t="s">
        <v>831</v>
      </c>
      <c r="I185" s="1">
        <v>1952</v>
      </c>
      <c r="J185" s="1">
        <v>1</v>
      </c>
      <c r="K185" s="1">
        <v>2016</v>
      </c>
      <c r="L185" s="1">
        <v>1</v>
      </c>
      <c r="M185" s="1">
        <v>0</v>
      </c>
    </row>
    <row r="186" spans="8:13">
      <c r="H186" s="1" t="s">
        <v>968</v>
      </c>
      <c r="I186" s="1">
        <v>1976</v>
      </c>
      <c r="J186" s="1">
        <v>9</v>
      </c>
      <c r="K186" s="1">
        <v>2016</v>
      </c>
      <c r="L186" s="1">
        <v>8</v>
      </c>
      <c r="M186" s="1">
        <v>-1</v>
      </c>
    </row>
    <row r="187" spans="8:13">
      <c r="H187" s="1" t="s">
        <v>821</v>
      </c>
      <c r="I187" s="1">
        <v>1906</v>
      </c>
      <c r="J187" s="1">
        <v>2</v>
      </c>
      <c r="K187" s="1">
        <v>1924</v>
      </c>
      <c r="L187" s="1">
        <v>1</v>
      </c>
      <c r="M187" s="1">
        <v>-1</v>
      </c>
    </row>
    <row r="188" spans="8:13">
      <c r="H188" s="1" t="s">
        <v>982</v>
      </c>
      <c r="I188" s="1">
        <v>1968</v>
      </c>
      <c r="J188" s="1">
        <v>5</v>
      </c>
      <c r="K188" s="1">
        <v>2016</v>
      </c>
      <c r="L188" s="1">
        <v>4</v>
      </c>
      <c r="M188" s="1">
        <v>-1</v>
      </c>
    </row>
    <row r="189" spans="8:13">
      <c r="H189" s="1" t="s">
        <v>992</v>
      </c>
      <c r="I189" s="1">
        <v>1956</v>
      </c>
      <c r="J189" s="1">
        <v>3</v>
      </c>
      <c r="K189" s="1">
        <v>2016</v>
      </c>
      <c r="L189" s="1">
        <v>2</v>
      </c>
      <c r="M189" s="1">
        <v>-1</v>
      </c>
    </row>
    <row r="190" spans="8:13">
      <c r="H190" s="1" t="s">
        <v>953</v>
      </c>
      <c r="I190" s="1">
        <v>1920</v>
      </c>
      <c r="J190" s="1">
        <v>4</v>
      </c>
      <c r="K190" s="1">
        <v>2016</v>
      </c>
      <c r="L190" s="1">
        <v>3</v>
      </c>
      <c r="M190" s="1">
        <v>-1</v>
      </c>
    </row>
    <row r="191" spans="8:13">
      <c r="H191" s="1" t="s">
        <v>1013</v>
      </c>
      <c r="I191" s="1">
        <v>1980</v>
      </c>
      <c r="J191" s="1">
        <v>11</v>
      </c>
      <c r="K191" s="1">
        <v>2016</v>
      </c>
      <c r="L191" s="1">
        <v>10</v>
      </c>
      <c r="M191" s="1">
        <v>-1</v>
      </c>
    </row>
    <row r="192" spans="8:13">
      <c r="H192" s="1" t="s">
        <v>1095</v>
      </c>
      <c r="I192" s="1">
        <v>1972</v>
      </c>
      <c r="J192" s="1">
        <v>3</v>
      </c>
      <c r="K192" s="1">
        <v>2016</v>
      </c>
      <c r="L192" s="1">
        <v>2</v>
      </c>
      <c r="M192" s="1">
        <v>-1</v>
      </c>
    </row>
    <row r="193" spans="8:13">
      <c r="H193" s="1" t="s">
        <v>940</v>
      </c>
      <c r="I193" s="1">
        <v>1960</v>
      </c>
      <c r="J193" s="1">
        <v>7</v>
      </c>
      <c r="K193" s="1">
        <v>2016</v>
      </c>
      <c r="L193" s="1">
        <v>6</v>
      </c>
      <c r="M193" s="1">
        <v>-1</v>
      </c>
    </row>
    <row r="194" spans="8:13">
      <c r="H194" s="1" t="s">
        <v>886</v>
      </c>
      <c r="I194" s="1">
        <v>1996</v>
      </c>
      <c r="J194" s="1">
        <v>8</v>
      </c>
      <c r="K194" s="1">
        <v>2016</v>
      </c>
      <c r="L194" s="1">
        <v>7</v>
      </c>
      <c r="M194" s="1">
        <v>-1</v>
      </c>
    </row>
    <row r="195" spans="8:13">
      <c r="H195" s="1" t="s">
        <v>932</v>
      </c>
      <c r="I195" s="1">
        <v>1972</v>
      </c>
      <c r="J195" s="1">
        <v>6</v>
      </c>
      <c r="K195" s="1">
        <v>2016</v>
      </c>
      <c r="L195" s="1">
        <v>5</v>
      </c>
      <c r="M195" s="1">
        <v>-1</v>
      </c>
    </row>
    <row r="196" spans="8:13">
      <c r="H196" s="1" t="s">
        <v>965</v>
      </c>
      <c r="I196" s="1">
        <v>1988</v>
      </c>
      <c r="J196" s="1">
        <v>6</v>
      </c>
      <c r="K196" s="1">
        <v>2016</v>
      </c>
      <c r="L196" s="1">
        <v>4</v>
      </c>
      <c r="M196" s="1">
        <v>-2</v>
      </c>
    </row>
    <row r="197" spans="8:13">
      <c r="H197" s="1" t="s">
        <v>1010</v>
      </c>
      <c r="I197" s="1">
        <v>1988</v>
      </c>
      <c r="J197" s="1">
        <v>6</v>
      </c>
      <c r="K197" s="1">
        <v>2016</v>
      </c>
      <c r="L197" s="1">
        <v>4</v>
      </c>
      <c r="M197" s="1">
        <v>-2</v>
      </c>
    </row>
    <row r="198" spans="8:13">
      <c r="H198" s="1" t="s">
        <v>1096</v>
      </c>
      <c r="I198" s="1">
        <v>2008</v>
      </c>
      <c r="J198" s="1">
        <v>3</v>
      </c>
      <c r="K198" s="1">
        <v>2016</v>
      </c>
      <c r="L198" s="1">
        <v>1</v>
      </c>
      <c r="M198" s="1">
        <v>-2</v>
      </c>
    </row>
    <row r="199" spans="8:13">
      <c r="H199" s="1" t="s">
        <v>1097</v>
      </c>
      <c r="I199" s="1">
        <v>1956</v>
      </c>
      <c r="J199" s="1">
        <v>3</v>
      </c>
      <c r="K199" s="1">
        <v>1972</v>
      </c>
      <c r="L199" s="1">
        <v>1</v>
      </c>
      <c r="M199" s="1">
        <v>-2</v>
      </c>
    </row>
    <row r="200" spans="8:13">
      <c r="H200" s="1" t="s">
        <v>868</v>
      </c>
      <c r="I200" s="1">
        <v>1900</v>
      </c>
      <c r="J200" s="1">
        <v>4</v>
      </c>
      <c r="K200" s="1">
        <v>1936</v>
      </c>
      <c r="L200" s="1">
        <v>1</v>
      </c>
      <c r="M200" s="1">
        <v>-3</v>
      </c>
    </row>
    <row r="201" spans="8:13">
      <c r="H201" s="1" t="s">
        <v>984</v>
      </c>
      <c r="I201" s="1">
        <v>1984</v>
      </c>
      <c r="J201" s="1">
        <v>4</v>
      </c>
      <c r="K201" s="1">
        <v>2016</v>
      </c>
      <c r="L201" s="1">
        <v>1</v>
      </c>
      <c r="M201" s="1">
        <v>-3</v>
      </c>
    </row>
    <row r="202" spans="8:13">
      <c r="H202" s="1" t="s">
        <v>985</v>
      </c>
      <c r="I202" s="1">
        <v>1984</v>
      </c>
      <c r="J202" s="1">
        <v>8</v>
      </c>
      <c r="K202" s="1">
        <v>2016</v>
      </c>
      <c r="L202" s="1">
        <v>5</v>
      </c>
      <c r="M202" s="1">
        <v>-3</v>
      </c>
    </row>
    <row r="203" spans="8:13">
      <c r="H203" s="1" t="s">
        <v>996</v>
      </c>
      <c r="I203" s="1">
        <v>1988</v>
      </c>
      <c r="J203" s="1">
        <v>7</v>
      </c>
      <c r="K203" s="1">
        <v>2016</v>
      </c>
      <c r="L203" s="1">
        <v>4</v>
      </c>
      <c r="M203" s="1">
        <v>-3</v>
      </c>
    </row>
    <row r="204" spans="8:13">
      <c r="H204" s="1" t="s">
        <v>966</v>
      </c>
      <c r="I204" s="1">
        <v>1976</v>
      </c>
      <c r="J204" s="1">
        <v>8</v>
      </c>
      <c r="K204" s="1">
        <v>2016</v>
      </c>
      <c r="L204" s="1">
        <v>4</v>
      </c>
      <c r="M204" s="1">
        <v>-4</v>
      </c>
    </row>
    <row r="205" spans="8:13">
      <c r="H205" s="1" t="s">
        <v>971</v>
      </c>
      <c r="I205" s="1">
        <v>1968</v>
      </c>
      <c r="J205" s="1">
        <v>7</v>
      </c>
      <c r="K205" s="1">
        <v>2016</v>
      </c>
      <c r="L205" s="1">
        <v>3</v>
      </c>
      <c r="M205" s="1">
        <v>-4</v>
      </c>
    </row>
    <row r="206" spans="8:13">
      <c r="H206" s="1" t="s">
        <v>973</v>
      </c>
      <c r="I206" s="1">
        <v>1984</v>
      </c>
      <c r="J206" s="1">
        <v>6</v>
      </c>
      <c r="K206" s="1">
        <v>2016</v>
      </c>
      <c r="L206" s="1">
        <v>2</v>
      </c>
      <c r="M206" s="1">
        <v>-4</v>
      </c>
    </row>
    <row r="207" spans="8:13">
      <c r="H207" s="1" t="s">
        <v>1098</v>
      </c>
      <c r="I207" s="1">
        <v>1996</v>
      </c>
      <c r="J207" s="1">
        <v>6</v>
      </c>
      <c r="K207" s="1">
        <v>2016</v>
      </c>
      <c r="L207" s="1">
        <v>2</v>
      </c>
      <c r="M207" s="1">
        <v>-4</v>
      </c>
    </row>
    <row r="208" spans="8:13">
      <c r="H208" s="1" t="s">
        <v>1099</v>
      </c>
      <c r="I208" s="1">
        <v>1996</v>
      </c>
      <c r="J208" s="1">
        <v>10</v>
      </c>
      <c r="K208" s="1">
        <v>2016</v>
      </c>
      <c r="L208" s="1">
        <v>6</v>
      </c>
      <c r="M208" s="1">
        <v>-4</v>
      </c>
    </row>
    <row r="209" spans="8:13">
      <c r="H209" s="1" t="s">
        <v>873</v>
      </c>
      <c r="I209" s="1">
        <v>1924</v>
      </c>
      <c r="J209" s="1">
        <v>21</v>
      </c>
      <c r="K209" s="1">
        <v>2016</v>
      </c>
      <c r="L209" s="1">
        <v>17</v>
      </c>
      <c r="M209" s="1">
        <v>-4</v>
      </c>
    </row>
    <row r="210" spans="8:13">
      <c r="H210" s="1" t="s">
        <v>1012</v>
      </c>
      <c r="I210" s="1">
        <v>1960</v>
      </c>
      <c r="J210" s="1">
        <v>9</v>
      </c>
      <c r="K210" s="1">
        <v>2016</v>
      </c>
      <c r="L210" s="1">
        <v>4</v>
      </c>
      <c r="M210" s="1">
        <v>-5</v>
      </c>
    </row>
    <row r="211" spans="8:13">
      <c r="H211" s="1" t="s">
        <v>1018</v>
      </c>
      <c r="I211" s="1">
        <v>1992</v>
      </c>
      <c r="J211" s="1">
        <v>8</v>
      </c>
      <c r="K211" s="1">
        <v>2016</v>
      </c>
      <c r="L211" s="1">
        <v>3</v>
      </c>
      <c r="M211" s="1">
        <v>-5</v>
      </c>
    </row>
    <row r="212" spans="8:13">
      <c r="H212" s="1" t="s">
        <v>959</v>
      </c>
      <c r="I212" s="1">
        <v>1964</v>
      </c>
      <c r="J212" s="1">
        <v>12</v>
      </c>
      <c r="K212" s="1">
        <v>2016</v>
      </c>
      <c r="L212" s="1">
        <v>7</v>
      </c>
      <c r="M212" s="1">
        <v>-5</v>
      </c>
    </row>
    <row r="213" spans="8:13">
      <c r="H213" s="1" t="s">
        <v>1002</v>
      </c>
      <c r="I213" s="1">
        <v>1968</v>
      </c>
      <c r="J213" s="1">
        <v>11</v>
      </c>
      <c r="K213" s="1">
        <v>2016</v>
      </c>
      <c r="L213" s="1">
        <v>5</v>
      </c>
      <c r="M213" s="1">
        <v>-6</v>
      </c>
    </row>
    <row r="214" spans="8:13">
      <c r="H214" s="1" t="s">
        <v>1003</v>
      </c>
      <c r="I214" s="1">
        <v>1984</v>
      </c>
      <c r="J214" s="1">
        <v>10</v>
      </c>
      <c r="K214" s="1">
        <v>2016</v>
      </c>
      <c r="L214" s="1">
        <v>4</v>
      </c>
      <c r="M214" s="1">
        <v>-6</v>
      </c>
    </row>
    <row r="215" spans="8:13">
      <c r="H215" s="1" t="s">
        <v>912</v>
      </c>
      <c r="I215" s="1">
        <v>1936</v>
      </c>
      <c r="J215" s="1">
        <v>10</v>
      </c>
      <c r="K215" s="1">
        <v>2016</v>
      </c>
      <c r="L215" s="1">
        <v>3</v>
      </c>
      <c r="M215" s="1">
        <v>-7</v>
      </c>
    </row>
    <row r="216" spans="8:13">
      <c r="H216" s="1" t="s">
        <v>1017</v>
      </c>
      <c r="I216" s="1">
        <v>1952</v>
      </c>
      <c r="J216" s="1">
        <v>8</v>
      </c>
      <c r="K216" s="1">
        <v>1972</v>
      </c>
      <c r="L216" s="1">
        <v>1</v>
      </c>
      <c r="M216" s="1">
        <v>-7</v>
      </c>
    </row>
    <row r="217" spans="8:13">
      <c r="H217" s="1" t="s">
        <v>923</v>
      </c>
      <c r="I217" s="1">
        <v>1980</v>
      </c>
      <c r="J217" s="1">
        <v>30</v>
      </c>
      <c r="K217" s="1">
        <v>2016</v>
      </c>
      <c r="L217" s="1">
        <v>22</v>
      </c>
      <c r="M217" s="1">
        <v>-8</v>
      </c>
    </row>
    <row r="218" spans="8:13">
      <c r="H218" s="1" t="s">
        <v>1100</v>
      </c>
      <c r="I218" s="1">
        <v>1956</v>
      </c>
      <c r="J218" s="1">
        <v>10</v>
      </c>
      <c r="K218" s="1">
        <v>1968</v>
      </c>
      <c r="L218" s="1">
        <v>1</v>
      </c>
      <c r="M218" s="1">
        <v>-9</v>
      </c>
    </row>
    <row r="219" spans="8:13">
      <c r="H219" s="1" t="s">
        <v>1101</v>
      </c>
      <c r="I219" s="1">
        <v>1960</v>
      </c>
      <c r="J219" s="1">
        <v>10</v>
      </c>
      <c r="K219" s="1">
        <v>1964</v>
      </c>
      <c r="L219" s="1">
        <v>1</v>
      </c>
      <c r="M219" s="1">
        <v>-9</v>
      </c>
    </row>
    <row r="220" spans="8:13">
      <c r="H220" s="1" t="s">
        <v>944</v>
      </c>
      <c r="I220" s="1">
        <v>1952</v>
      </c>
      <c r="J220" s="1">
        <v>11</v>
      </c>
      <c r="K220" s="1">
        <v>2016</v>
      </c>
      <c r="L220" s="1">
        <v>1</v>
      </c>
      <c r="M220" s="1">
        <v>-10</v>
      </c>
    </row>
    <row r="221" spans="8:13">
      <c r="H221" s="1" t="s">
        <v>948</v>
      </c>
      <c r="I221" s="1">
        <v>1936</v>
      </c>
      <c r="J221" s="1">
        <v>14</v>
      </c>
      <c r="K221" s="1">
        <v>2016</v>
      </c>
      <c r="L221" s="1">
        <v>3</v>
      </c>
      <c r="M221" s="1">
        <v>-11</v>
      </c>
    </row>
    <row r="222" spans="8:13">
      <c r="H222" s="1" t="s">
        <v>995</v>
      </c>
      <c r="I222" s="1">
        <v>1972</v>
      </c>
      <c r="J222" s="1">
        <v>16</v>
      </c>
      <c r="K222" s="1">
        <v>2016</v>
      </c>
      <c r="L222" s="1">
        <v>5</v>
      </c>
      <c r="M222" s="1">
        <v>-11</v>
      </c>
    </row>
    <row r="223" spans="8:13">
      <c r="H223" s="1" t="s">
        <v>841</v>
      </c>
      <c r="I223" s="1">
        <v>1920</v>
      </c>
      <c r="J223" s="1">
        <v>15</v>
      </c>
      <c r="K223" s="1">
        <v>2012</v>
      </c>
      <c r="L223" s="1">
        <v>3</v>
      </c>
      <c r="M223" s="1">
        <v>-12</v>
      </c>
    </row>
    <row r="224" spans="8:13">
      <c r="H224" s="1" t="s">
        <v>819</v>
      </c>
      <c r="I224" s="1">
        <v>1960</v>
      </c>
      <c r="J224" s="1">
        <v>15</v>
      </c>
      <c r="K224" s="1">
        <v>2012</v>
      </c>
      <c r="L224" s="1">
        <v>1</v>
      </c>
      <c r="M224" s="1">
        <v>-14</v>
      </c>
    </row>
    <row r="225" spans="8:13">
      <c r="H225" s="1" t="s">
        <v>990</v>
      </c>
      <c r="I225" s="1">
        <v>1980</v>
      </c>
      <c r="J225" s="1">
        <v>19</v>
      </c>
      <c r="K225" s="1">
        <v>2016</v>
      </c>
      <c r="L225" s="1">
        <v>5</v>
      </c>
      <c r="M225" s="1">
        <v>-14</v>
      </c>
    </row>
    <row r="226" spans="8:13">
      <c r="H226" s="1" t="s">
        <v>925</v>
      </c>
      <c r="I226" s="1">
        <v>1952</v>
      </c>
      <c r="J226" s="1">
        <v>36</v>
      </c>
      <c r="K226" s="1">
        <v>1960</v>
      </c>
      <c r="L226" s="1">
        <v>1</v>
      </c>
      <c r="M226" s="1">
        <v>-35</v>
      </c>
    </row>
    <row r="227" spans="8:13">
      <c r="H227" s="10" t="s">
        <v>781</v>
      </c>
      <c r="I227" s="10">
        <v>1952</v>
      </c>
      <c r="J227" s="10">
        <v>232</v>
      </c>
      <c r="K227" s="1">
        <v>2016</v>
      </c>
      <c r="L227" s="1">
        <v>1</v>
      </c>
      <c r="M227" s="1">
        <v>-231</v>
      </c>
    </row>
  </sheetData>
  <mergeCells count="2">
    <mergeCell ref="A1:H1"/>
    <mergeCell ref="N3:O3"/>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70293-704A-49CB-B164-37D6E14348CE}">
  <dimension ref="A1:O23"/>
  <sheetViews>
    <sheetView workbookViewId="0">
      <selection activeCell="H4" sqref="H4:J23"/>
    </sheetView>
  </sheetViews>
  <sheetFormatPr defaultRowHeight="15"/>
  <cols>
    <col min="6" max="6" width="17.140625" customWidth="1"/>
    <col min="8" max="8" width="16.140625" style="4" customWidth="1"/>
    <col min="9" max="9" width="13.28515625" style="4" customWidth="1"/>
    <col min="10" max="11" width="17" style="4" customWidth="1"/>
    <col min="12" max="13" width="19.42578125" style="4" customWidth="1"/>
  </cols>
  <sheetData>
    <row r="1" spans="1:15">
      <c r="A1" s="32" t="s">
        <v>1102</v>
      </c>
      <c r="B1" s="32"/>
      <c r="C1" s="32"/>
      <c r="D1" s="32"/>
      <c r="E1" s="32"/>
      <c r="F1" s="32"/>
      <c r="G1" s="32"/>
      <c r="H1" s="32"/>
      <c r="I1"/>
      <c r="J1"/>
      <c r="K1"/>
      <c r="L1"/>
      <c r="M1"/>
    </row>
    <row r="2" spans="1:15">
      <c r="H2"/>
      <c r="I2"/>
      <c r="J2"/>
      <c r="K2"/>
      <c r="L2"/>
      <c r="M2"/>
    </row>
    <row r="3" spans="1:15">
      <c r="A3" s="3" t="s">
        <v>36</v>
      </c>
      <c r="B3" t="s">
        <v>57</v>
      </c>
      <c r="G3" s="3" t="s">
        <v>38</v>
      </c>
      <c r="H3" s="19" t="s">
        <v>126</v>
      </c>
      <c r="I3" s="19" t="s">
        <v>770</v>
      </c>
      <c r="J3" s="19" t="s">
        <v>1034</v>
      </c>
      <c r="K3" s="8"/>
      <c r="L3" s="20" t="s">
        <v>1103</v>
      </c>
      <c r="M3" s="23" t="s">
        <v>1034</v>
      </c>
      <c r="N3" s="31" t="s">
        <v>42</v>
      </c>
      <c r="O3" s="31"/>
    </row>
    <row r="4" spans="1:15">
      <c r="B4" t="s">
        <v>206</v>
      </c>
      <c r="H4" s="1" t="s">
        <v>198</v>
      </c>
      <c r="I4" s="1" t="s">
        <v>222</v>
      </c>
      <c r="J4" s="1">
        <v>676</v>
      </c>
      <c r="L4" s="1" t="str">
        <f>H4&amp;" - "&amp;I4</f>
        <v>Athletics - USA</v>
      </c>
      <c r="M4" s="9">
        <v>676</v>
      </c>
    </row>
    <row r="5" spans="1:15">
      <c r="B5" t="s">
        <v>801</v>
      </c>
      <c r="H5" s="1" t="s">
        <v>199</v>
      </c>
      <c r="I5" s="1" t="s">
        <v>222</v>
      </c>
      <c r="J5" s="1">
        <v>479</v>
      </c>
      <c r="L5" s="1" t="str">
        <f t="shared" ref="L5:L23" si="0">H5&amp;" - "&amp;I5</f>
        <v>Swimming - USA</v>
      </c>
      <c r="M5" s="9">
        <v>479</v>
      </c>
    </row>
    <row r="6" spans="1:15">
      <c r="B6" t="s">
        <v>1046</v>
      </c>
      <c r="H6" s="1" t="s">
        <v>185</v>
      </c>
      <c r="I6" s="1" t="s">
        <v>222</v>
      </c>
      <c r="J6" s="1">
        <v>306</v>
      </c>
      <c r="L6" s="1" t="str">
        <f t="shared" si="0"/>
        <v>Rowing - USA</v>
      </c>
      <c r="M6" s="9">
        <v>306</v>
      </c>
    </row>
    <row r="7" spans="1:15">
      <c r="B7" t="s">
        <v>208</v>
      </c>
      <c r="H7" s="1" t="s">
        <v>171</v>
      </c>
      <c r="I7" s="1" t="s">
        <v>778</v>
      </c>
      <c r="J7" s="1">
        <v>276</v>
      </c>
      <c r="L7" s="1" t="str">
        <f t="shared" si="0"/>
        <v>Ice Hockey - Canada</v>
      </c>
      <c r="M7" s="9">
        <v>276</v>
      </c>
    </row>
    <row r="8" spans="1:15">
      <c r="B8" t="s">
        <v>225</v>
      </c>
      <c r="H8" s="1" t="s">
        <v>159</v>
      </c>
      <c r="I8" s="1" t="s">
        <v>222</v>
      </c>
      <c r="J8" s="1">
        <v>262</v>
      </c>
      <c r="L8" s="1" t="str">
        <f t="shared" si="0"/>
        <v>Basketball - USA</v>
      </c>
      <c r="M8" s="9">
        <v>262</v>
      </c>
    </row>
    <row r="9" spans="1:15">
      <c r="B9" t="s">
        <v>226</v>
      </c>
      <c r="H9" s="1" t="s">
        <v>198</v>
      </c>
      <c r="I9" s="1" t="s">
        <v>220</v>
      </c>
      <c r="J9" s="1">
        <v>245</v>
      </c>
      <c r="L9" s="1" t="str">
        <f t="shared" si="0"/>
        <v>Athletics - UK</v>
      </c>
      <c r="M9" s="9">
        <v>245</v>
      </c>
    </row>
    <row r="10" spans="1:15">
      <c r="B10" t="s">
        <v>1028</v>
      </c>
      <c r="H10" s="1" t="s">
        <v>171</v>
      </c>
      <c r="I10" s="1" t="s">
        <v>222</v>
      </c>
      <c r="J10" s="1">
        <v>212</v>
      </c>
      <c r="L10" s="1" t="str">
        <f t="shared" si="0"/>
        <v>Ice Hockey - USA</v>
      </c>
      <c r="M10" s="9">
        <v>212</v>
      </c>
    </row>
    <row r="11" spans="1:15">
      <c r="B11" t="s">
        <v>1029</v>
      </c>
      <c r="H11" s="1" t="s">
        <v>185</v>
      </c>
      <c r="I11" s="1" t="s">
        <v>220</v>
      </c>
      <c r="J11" s="1">
        <v>210</v>
      </c>
      <c r="L11" s="1" t="str">
        <f t="shared" si="0"/>
        <v>Rowing - UK</v>
      </c>
      <c r="M11" s="9">
        <v>210</v>
      </c>
    </row>
    <row r="12" spans="1:15">
      <c r="B12" t="s">
        <v>1104</v>
      </c>
      <c r="H12" s="1" t="s">
        <v>185</v>
      </c>
      <c r="I12" s="1" t="s">
        <v>786</v>
      </c>
      <c r="J12" s="1">
        <v>194</v>
      </c>
      <c r="L12" s="1" t="str">
        <f t="shared" si="0"/>
        <v>Rowing - Germany</v>
      </c>
      <c r="M12" s="9">
        <v>194</v>
      </c>
    </row>
    <row r="13" spans="1:15">
      <c r="B13" t="s">
        <v>1105</v>
      </c>
      <c r="H13" s="1" t="s">
        <v>199</v>
      </c>
      <c r="I13" s="1" t="s">
        <v>851</v>
      </c>
      <c r="J13" s="1">
        <v>187</v>
      </c>
      <c r="L13" s="1" t="str">
        <f t="shared" si="0"/>
        <v>Swimming - Australia</v>
      </c>
      <c r="M13" s="9">
        <v>187</v>
      </c>
    </row>
    <row r="14" spans="1:15">
      <c r="B14" t="s">
        <v>1106</v>
      </c>
      <c r="H14" s="1" t="s">
        <v>198</v>
      </c>
      <c r="I14" s="1" t="s">
        <v>781</v>
      </c>
      <c r="J14" s="1">
        <v>183</v>
      </c>
      <c r="L14" s="1" t="str">
        <f t="shared" si="0"/>
        <v>Athletics - Soviet Union</v>
      </c>
      <c r="M14" s="9">
        <v>183</v>
      </c>
    </row>
    <row r="15" spans="1:15">
      <c r="H15" s="1" t="s">
        <v>171</v>
      </c>
      <c r="I15" s="1" t="s">
        <v>833</v>
      </c>
      <c r="J15" s="1">
        <v>183</v>
      </c>
      <c r="L15" s="1" t="str">
        <f t="shared" si="0"/>
        <v>Ice Hockey - Sweden</v>
      </c>
      <c r="M15" s="9">
        <v>183</v>
      </c>
    </row>
    <row r="16" spans="1:15">
      <c r="H16" s="1" t="s">
        <v>175</v>
      </c>
      <c r="I16" s="1" t="s">
        <v>783</v>
      </c>
      <c r="J16" s="1">
        <v>173</v>
      </c>
      <c r="L16" s="1" t="str">
        <f t="shared" si="0"/>
        <v>Hockey - Netherlands</v>
      </c>
      <c r="M16" s="9">
        <v>173</v>
      </c>
    </row>
    <row r="17" spans="8:13">
      <c r="H17" s="1" t="s">
        <v>202</v>
      </c>
      <c r="I17" s="1" t="s">
        <v>218</v>
      </c>
      <c r="J17" s="1">
        <v>167</v>
      </c>
      <c r="L17" s="1" t="str">
        <f t="shared" si="0"/>
        <v>Fencing - France</v>
      </c>
      <c r="M17" s="9">
        <v>167</v>
      </c>
    </row>
    <row r="18" spans="8:13">
      <c r="H18" s="1" t="s">
        <v>185</v>
      </c>
      <c r="I18" s="1" t="s">
        <v>778</v>
      </c>
      <c r="J18" s="1">
        <v>162</v>
      </c>
      <c r="L18" s="1" t="str">
        <f t="shared" si="0"/>
        <v>Rowing - Canada</v>
      </c>
      <c r="M18" s="9">
        <v>162</v>
      </c>
    </row>
    <row r="19" spans="8:13">
      <c r="H19" s="1" t="s">
        <v>202</v>
      </c>
      <c r="I19" s="1" t="s">
        <v>776</v>
      </c>
      <c r="J19" s="1">
        <v>161</v>
      </c>
      <c r="L19" s="1" t="str">
        <f t="shared" si="0"/>
        <v>Fencing - Italy</v>
      </c>
      <c r="M19" s="9">
        <v>161</v>
      </c>
    </row>
    <row r="20" spans="8:13">
      <c r="H20" s="1" t="s">
        <v>175</v>
      </c>
      <c r="I20" s="1" t="s">
        <v>786</v>
      </c>
      <c r="J20" s="1">
        <v>158</v>
      </c>
      <c r="L20" s="1" t="str">
        <f t="shared" si="0"/>
        <v>Hockey - Germany</v>
      </c>
      <c r="M20" s="9">
        <v>158</v>
      </c>
    </row>
    <row r="21" spans="8:13">
      <c r="H21" s="1" t="s">
        <v>185</v>
      </c>
      <c r="I21" s="1" t="s">
        <v>819</v>
      </c>
      <c r="J21" s="1">
        <v>149</v>
      </c>
      <c r="L21" s="1" t="str">
        <f t="shared" si="0"/>
        <v>Rowing - East Germany</v>
      </c>
      <c r="M21" s="9">
        <v>149</v>
      </c>
    </row>
    <row r="22" spans="8:13">
      <c r="H22" s="1" t="s">
        <v>198</v>
      </c>
      <c r="I22" s="1" t="s">
        <v>786</v>
      </c>
      <c r="J22" s="1">
        <v>147</v>
      </c>
      <c r="L22" s="1" t="str">
        <f t="shared" si="0"/>
        <v>Athletics - Germany</v>
      </c>
      <c r="M22" s="9">
        <v>147</v>
      </c>
    </row>
    <row r="23" spans="8:13">
      <c r="H23" s="1" t="s">
        <v>175</v>
      </c>
      <c r="I23" s="1" t="s">
        <v>220</v>
      </c>
      <c r="J23" s="1">
        <v>139</v>
      </c>
      <c r="L23" s="1" t="str">
        <f t="shared" si="0"/>
        <v>Hockey - UK</v>
      </c>
      <c r="M23" s="24">
        <v>139</v>
      </c>
    </row>
  </sheetData>
  <mergeCells count="2">
    <mergeCell ref="A1:H1"/>
    <mergeCell ref="N3:O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40FE6-0ABA-4B5F-9541-75F6FAE37F00}">
  <dimension ref="A1:L153"/>
  <sheetViews>
    <sheetView workbookViewId="0">
      <selection activeCell="H3" sqref="H3:I17"/>
    </sheetView>
  </sheetViews>
  <sheetFormatPr defaultRowHeight="15"/>
  <cols>
    <col min="6" max="6" width="17.140625" customWidth="1"/>
    <col min="8" max="8" width="16.140625" style="4" customWidth="1"/>
    <col min="9" max="9" width="13.28515625" style="4" customWidth="1"/>
    <col min="10" max="10" width="17" style="4" customWidth="1"/>
  </cols>
  <sheetData>
    <row r="1" spans="1:12">
      <c r="A1" s="32" t="s">
        <v>1107</v>
      </c>
      <c r="B1" s="32"/>
      <c r="C1" s="32"/>
      <c r="D1" s="32"/>
      <c r="E1" s="32"/>
      <c r="F1" s="32"/>
      <c r="G1" s="32"/>
      <c r="H1" s="32"/>
      <c r="I1"/>
      <c r="J1"/>
    </row>
    <row r="2" spans="1:12">
      <c r="H2"/>
      <c r="I2"/>
      <c r="J2"/>
    </row>
    <row r="3" spans="1:12">
      <c r="A3" s="3" t="s">
        <v>36</v>
      </c>
      <c r="B3" t="s">
        <v>57</v>
      </c>
      <c r="G3" s="3" t="s">
        <v>38</v>
      </c>
      <c r="H3" s="20" t="s">
        <v>770</v>
      </c>
      <c r="I3" s="20" t="s">
        <v>1021</v>
      </c>
      <c r="J3" s="8"/>
      <c r="K3" s="31" t="s">
        <v>42</v>
      </c>
      <c r="L3" s="31"/>
    </row>
    <row r="4" spans="1:12">
      <c r="B4" t="s">
        <v>801</v>
      </c>
      <c r="H4" s="1" t="s">
        <v>222</v>
      </c>
      <c r="I4" s="1">
        <v>2752</v>
      </c>
    </row>
    <row r="5" spans="1:12">
      <c r="B5" t="s">
        <v>1023</v>
      </c>
      <c r="H5" s="1" t="s">
        <v>781</v>
      </c>
      <c r="I5" s="1">
        <v>1309</v>
      </c>
    </row>
    <row r="6" spans="1:12">
      <c r="B6" t="s">
        <v>1108</v>
      </c>
      <c r="H6" s="1" t="s">
        <v>786</v>
      </c>
      <c r="I6" s="1">
        <v>1195</v>
      </c>
    </row>
    <row r="7" spans="1:12">
      <c r="B7" t="s">
        <v>1025</v>
      </c>
      <c r="H7" s="1" t="s">
        <v>220</v>
      </c>
      <c r="I7" s="1">
        <v>903</v>
      </c>
    </row>
    <row r="8" spans="1:12">
      <c r="B8" t="s">
        <v>208</v>
      </c>
      <c r="H8" s="1" t="s">
        <v>218</v>
      </c>
      <c r="I8" s="1">
        <v>859</v>
      </c>
    </row>
    <row r="9" spans="1:12">
      <c r="B9" t="s">
        <v>842</v>
      </c>
      <c r="H9" s="1" t="s">
        <v>776</v>
      </c>
      <c r="I9" s="1">
        <v>722</v>
      </c>
    </row>
    <row r="10" spans="1:12">
      <c r="B10" t="s">
        <v>261</v>
      </c>
      <c r="H10" s="1" t="s">
        <v>809</v>
      </c>
      <c r="I10" s="1">
        <v>687</v>
      </c>
    </row>
    <row r="11" spans="1:12">
      <c r="B11" t="s">
        <v>1027</v>
      </c>
      <c r="H11" s="1" t="s">
        <v>833</v>
      </c>
      <c r="I11" s="1">
        <v>657</v>
      </c>
    </row>
    <row r="12" spans="1:12">
      <c r="B12" t="s">
        <v>1028</v>
      </c>
      <c r="H12" s="1" t="s">
        <v>819</v>
      </c>
      <c r="I12" s="1">
        <v>628</v>
      </c>
    </row>
    <row r="13" spans="1:12">
      <c r="B13" t="s">
        <v>1029</v>
      </c>
      <c r="H13" s="1" t="s">
        <v>806</v>
      </c>
      <c r="I13" s="1">
        <v>597</v>
      </c>
    </row>
    <row r="14" spans="1:12">
      <c r="B14" t="s">
        <v>846</v>
      </c>
      <c r="H14" s="1" t="s">
        <v>851</v>
      </c>
      <c r="I14" s="1">
        <v>536</v>
      </c>
    </row>
    <row r="15" spans="1:12">
      <c r="B15" t="s">
        <v>1109</v>
      </c>
      <c r="H15" s="1" t="s">
        <v>789</v>
      </c>
      <c r="I15" s="1">
        <v>515</v>
      </c>
    </row>
    <row r="16" spans="1:12">
      <c r="H16" s="1" t="s">
        <v>804</v>
      </c>
      <c r="I16" s="1">
        <v>483</v>
      </c>
    </row>
    <row r="17" spans="8:9">
      <c r="H17" s="1" t="s">
        <v>778</v>
      </c>
      <c r="I17" s="1">
        <v>475</v>
      </c>
    </row>
    <row r="18" spans="8:9">
      <c r="H18" s="1" t="s">
        <v>790</v>
      </c>
      <c r="I18" s="1">
        <v>475</v>
      </c>
    </row>
    <row r="19" spans="8:9">
      <c r="H19" s="1" t="s">
        <v>847</v>
      </c>
      <c r="I19" s="1">
        <v>472</v>
      </c>
    </row>
    <row r="20" spans="8:9">
      <c r="H20" s="1" t="s">
        <v>783</v>
      </c>
      <c r="I20" s="1">
        <v>408</v>
      </c>
    </row>
    <row r="21" spans="8:9">
      <c r="H21" s="1" t="s">
        <v>817</v>
      </c>
      <c r="I21" s="1">
        <v>369</v>
      </c>
    </row>
    <row r="22" spans="8:9">
      <c r="H22" s="1" t="s">
        <v>224</v>
      </c>
      <c r="I22" s="1">
        <v>344</v>
      </c>
    </row>
    <row r="23" spans="8:9">
      <c r="H23" s="1" t="s">
        <v>831</v>
      </c>
      <c r="I23" s="1">
        <v>343</v>
      </c>
    </row>
    <row r="24" spans="8:9">
      <c r="H24" s="1" t="s">
        <v>798</v>
      </c>
      <c r="I24" s="1">
        <v>330</v>
      </c>
    </row>
    <row r="25" spans="8:9">
      <c r="H25" s="1" t="s">
        <v>808</v>
      </c>
      <c r="I25" s="1">
        <v>320</v>
      </c>
    </row>
    <row r="26" spans="8:9">
      <c r="H26" s="1" t="s">
        <v>867</v>
      </c>
      <c r="I26" s="1">
        <v>312</v>
      </c>
    </row>
    <row r="27" spans="8:9">
      <c r="H27" s="1" t="s">
        <v>852</v>
      </c>
      <c r="I27" s="1">
        <v>311</v>
      </c>
    </row>
    <row r="28" spans="8:9">
      <c r="H28" s="1" t="s">
        <v>855</v>
      </c>
      <c r="I28" s="1">
        <v>229</v>
      </c>
    </row>
    <row r="29" spans="8:9">
      <c r="H29" s="1" t="s">
        <v>800</v>
      </c>
      <c r="I29" s="1">
        <v>215</v>
      </c>
    </row>
    <row r="30" spans="8:9">
      <c r="H30" s="1" t="s">
        <v>843</v>
      </c>
      <c r="I30" s="1">
        <v>212</v>
      </c>
    </row>
    <row r="31" spans="8:9">
      <c r="H31" s="1" t="s">
        <v>853</v>
      </c>
      <c r="I31" s="1">
        <v>197</v>
      </c>
    </row>
    <row r="32" spans="8:9">
      <c r="H32" s="1" t="s">
        <v>860</v>
      </c>
      <c r="I32" s="1">
        <v>175</v>
      </c>
    </row>
    <row r="33" spans="8:9">
      <c r="H33" s="1" t="s">
        <v>864</v>
      </c>
      <c r="I33" s="1">
        <v>158</v>
      </c>
    </row>
    <row r="34" spans="8:9">
      <c r="H34" s="1" t="s">
        <v>223</v>
      </c>
      <c r="I34" s="1">
        <v>154</v>
      </c>
    </row>
    <row r="35" spans="8:9">
      <c r="H35" s="1" t="s">
        <v>865</v>
      </c>
      <c r="I35" s="1">
        <v>136</v>
      </c>
    </row>
    <row r="36" spans="8:9">
      <c r="H36" s="1" t="s">
        <v>794</v>
      </c>
      <c r="I36" s="1">
        <v>130</v>
      </c>
    </row>
    <row r="37" spans="8:9">
      <c r="H37" s="1" t="s">
        <v>876</v>
      </c>
      <c r="I37" s="1">
        <v>121</v>
      </c>
    </row>
    <row r="38" spans="8:9">
      <c r="H38" s="1" t="s">
        <v>841</v>
      </c>
      <c r="I38" s="1">
        <v>101</v>
      </c>
    </row>
    <row r="39" spans="8:9">
      <c r="H39" s="1" t="s">
        <v>861</v>
      </c>
      <c r="I39" s="1">
        <v>97</v>
      </c>
    </row>
    <row r="40" spans="8:9">
      <c r="H40" s="1" t="s">
        <v>889</v>
      </c>
      <c r="I40" s="1">
        <v>94</v>
      </c>
    </row>
    <row r="41" spans="8:9">
      <c r="H41" s="1" t="s">
        <v>862</v>
      </c>
      <c r="I41" s="1">
        <v>92</v>
      </c>
    </row>
    <row r="42" spans="8:9">
      <c r="H42" s="1" t="s">
        <v>881</v>
      </c>
      <c r="I42" s="1">
        <v>92</v>
      </c>
    </row>
    <row r="43" spans="8:9">
      <c r="H43" s="1" t="s">
        <v>810</v>
      </c>
      <c r="I43" s="1">
        <v>89</v>
      </c>
    </row>
    <row r="44" spans="8:9">
      <c r="H44" s="1" t="s">
        <v>850</v>
      </c>
      <c r="I44" s="1">
        <v>81</v>
      </c>
    </row>
    <row r="45" spans="8:9">
      <c r="H45" s="1" t="s">
        <v>885</v>
      </c>
      <c r="I45" s="1">
        <v>81</v>
      </c>
    </row>
    <row r="46" spans="8:9">
      <c r="H46" s="1" t="s">
        <v>871</v>
      </c>
      <c r="I46" s="1">
        <v>75</v>
      </c>
    </row>
    <row r="47" spans="8:9">
      <c r="H47" s="1" t="s">
        <v>894</v>
      </c>
      <c r="I47" s="1">
        <v>68</v>
      </c>
    </row>
    <row r="48" spans="8:9">
      <c r="H48" s="1" t="s">
        <v>880</v>
      </c>
      <c r="I48" s="1">
        <v>67</v>
      </c>
    </row>
    <row r="49" spans="8:9">
      <c r="H49" s="1" t="s">
        <v>869</v>
      </c>
      <c r="I49" s="1">
        <v>56</v>
      </c>
    </row>
    <row r="50" spans="8:9">
      <c r="H50" s="1" t="s">
        <v>837</v>
      </c>
      <c r="I50" s="1">
        <v>55</v>
      </c>
    </row>
    <row r="51" spans="8:9">
      <c r="H51" s="1" t="s">
        <v>870</v>
      </c>
      <c r="I51" s="1">
        <v>53</v>
      </c>
    </row>
    <row r="52" spans="8:9">
      <c r="H52" s="1" t="s">
        <v>854</v>
      </c>
      <c r="I52" s="1">
        <v>52</v>
      </c>
    </row>
    <row r="53" spans="8:9">
      <c r="H53" s="1" t="s">
        <v>887</v>
      </c>
      <c r="I53" s="1">
        <v>52</v>
      </c>
    </row>
    <row r="54" spans="8:9">
      <c r="H54" s="1" t="s">
        <v>879</v>
      </c>
      <c r="I54" s="1">
        <v>48</v>
      </c>
    </row>
    <row r="55" spans="8:9">
      <c r="H55" s="1" t="s">
        <v>877</v>
      </c>
      <c r="I55" s="1">
        <v>43</v>
      </c>
    </row>
    <row r="56" spans="8:9">
      <c r="H56" s="1" t="s">
        <v>897</v>
      </c>
      <c r="I56" s="1">
        <v>39</v>
      </c>
    </row>
    <row r="57" spans="8:9">
      <c r="H57" s="1" t="s">
        <v>858</v>
      </c>
      <c r="I57" s="1">
        <v>36</v>
      </c>
    </row>
    <row r="58" spans="8:9">
      <c r="H58" s="1" t="s">
        <v>905</v>
      </c>
      <c r="I58" s="1">
        <v>35</v>
      </c>
    </row>
    <row r="59" spans="8:9">
      <c r="H59" s="1" t="s">
        <v>856</v>
      </c>
      <c r="I59" s="1">
        <v>33</v>
      </c>
    </row>
    <row r="60" spans="8:9">
      <c r="H60" s="1" t="s">
        <v>895</v>
      </c>
      <c r="I60" s="1">
        <v>32</v>
      </c>
    </row>
    <row r="61" spans="8:9">
      <c r="H61" s="1" t="s">
        <v>896</v>
      </c>
      <c r="I61" s="1">
        <v>32</v>
      </c>
    </row>
    <row r="62" spans="8:9">
      <c r="H62" s="1" t="s">
        <v>872</v>
      </c>
      <c r="I62" s="1">
        <v>31</v>
      </c>
    </row>
    <row r="63" spans="8:9">
      <c r="H63" s="1" t="s">
        <v>835</v>
      </c>
      <c r="I63" s="1">
        <v>31</v>
      </c>
    </row>
    <row r="64" spans="8:9">
      <c r="H64" s="1" t="s">
        <v>859</v>
      </c>
      <c r="I64" s="1">
        <v>29</v>
      </c>
    </row>
    <row r="65" spans="8:9">
      <c r="H65" s="1" t="s">
        <v>914</v>
      </c>
      <c r="I65" s="1">
        <v>28</v>
      </c>
    </row>
    <row r="66" spans="8:9">
      <c r="H66" s="1" t="s">
        <v>888</v>
      </c>
      <c r="I66" s="1">
        <v>27</v>
      </c>
    </row>
    <row r="67" spans="8:9">
      <c r="H67" s="1" t="s">
        <v>857</v>
      </c>
      <c r="I67" s="1">
        <v>26</v>
      </c>
    </row>
    <row r="68" spans="8:9">
      <c r="H68" s="1" t="s">
        <v>890</v>
      </c>
      <c r="I68" s="1">
        <v>26</v>
      </c>
    </row>
    <row r="69" spans="8:9">
      <c r="H69" s="1" t="s">
        <v>933</v>
      </c>
      <c r="I69" s="1">
        <v>25</v>
      </c>
    </row>
    <row r="70" spans="8:9">
      <c r="H70" s="1" t="s">
        <v>828</v>
      </c>
      <c r="I70" s="1">
        <v>25</v>
      </c>
    </row>
    <row r="71" spans="8:9">
      <c r="H71" s="1" t="s">
        <v>900</v>
      </c>
      <c r="I71" s="1">
        <v>24</v>
      </c>
    </row>
    <row r="72" spans="8:9">
      <c r="H72" s="1" t="s">
        <v>875</v>
      </c>
      <c r="I72" s="1">
        <v>23</v>
      </c>
    </row>
    <row r="73" spans="8:9">
      <c r="H73" s="1" t="s">
        <v>901</v>
      </c>
      <c r="I73" s="1">
        <v>23</v>
      </c>
    </row>
    <row r="74" spans="8:9">
      <c r="H74" s="1" t="s">
        <v>878</v>
      </c>
      <c r="I74" s="1">
        <v>19</v>
      </c>
    </row>
    <row r="75" spans="8:9">
      <c r="H75" s="1" t="s">
        <v>821</v>
      </c>
      <c r="I75" s="1">
        <v>18</v>
      </c>
    </row>
    <row r="76" spans="8:9">
      <c r="H76" s="1" t="s">
        <v>913</v>
      </c>
      <c r="I76" s="1">
        <v>17</v>
      </c>
    </row>
    <row r="77" spans="8:9">
      <c r="H77" s="1" t="s">
        <v>874</v>
      </c>
      <c r="I77" s="1">
        <v>16</v>
      </c>
    </row>
    <row r="78" spans="8:9">
      <c r="H78" s="1" t="s">
        <v>926</v>
      </c>
      <c r="I78" s="1">
        <v>15</v>
      </c>
    </row>
    <row r="79" spans="8:9">
      <c r="H79" s="1" t="s">
        <v>866</v>
      </c>
      <c r="I79" s="1">
        <v>14</v>
      </c>
    </row>
    <row r="80" spans="8:9">
      <c r="H80" s="1" t="s">
        <v>898</v>
      </c>
      <c r="I80" s="1">
        <v>13</v>
      </c>
    </row>
    <row r="81" spans="8:9">
      <c r="H81" s="1" t="s">
        <v>943</v>
      </c>
      <c r="I81" s="1">
        <v>13</v>
      </c>
    </row>
    <row r="82" spans="8:9">
      <c r="H82" s="1" t="s">
        <v>902</v>
      </c>
      <c r="I82" s="1">
        <v>12</v>
      </c>
    </row>
    <row r="83" spans="8:9">
      <c r="H83" s="1" t="s">
        <v>893</v>
      </c>
      <c r="I83" s="1">
        <v>12</v>
      </c>
    </row>
    <row r="84" spans="8:9">
      <c r="H84" s="1" t="s">
        <v>839</v>
      </c>
      <c r="I84" s="1">
        <v>12</v>
      </c>
    </row>
    <row r="85" spans="8:9">
      <c r="H85" s="1" t="s">
        <v>928</v>
      </c>
      <c r="I85" s="1">
        <v>10</v>
      </c>
    </row>
    <row r="86" spans="8:9">
      <c r="H86" s="1" t="s">
        <v>938</v>
      </c>
      <c r="I86" s="1">
        <v>9</v>
      </c>
    </row>
    <row r="87" spans="8:9">
      <c r="H87" s="1" t="s">
        <v>912</v>
      </c>
      <c r="I87" s="1">
        <v>9</v>
      </c>
    </row>
    <row r="88" spans="8:9">
      <c r="H88" s="1" t="s">
        <v>949</v>
      </c>
      <c r="I88" s="1">
        <v>9</v>
      </c>
    </row>
    <row r="89" spans="8:9">
      <c r="H89" s="1" t="s">
        <v>873</v>
      </c>
      <c r="I89" s="1">
        <v>9</v>
      </c>
    </row>
    <row r="90" spans="8:9">
      <c r="H90" s="1" t="s">
        <v>947</v>
      </c>
      <c r="I90" s="1">
        <v>8</v>
      </c>
    </row>
    <row r="91" spans="8:9">
      <c r="H91" s="1" t="s">
        <v>892</v>
      </c>
      <c r="I91" s="1">
        <v>8</v>
      </c>
    </row>
    <row r="92" spans="8:9">
      <c r="H92" s="1" t="s">
        <v>868</v>
      </c>
      <c r="I92" s="1">
        <v>7</v>
      </c>
    </row>
    <row r="93" spans="8:9">
      <c r="H93" s="1" t="s">
        <v>922</v>
      </c>
      <c r="I93" s="1">
        <v>7</v>
      </c>
    </row>
    <row r="94" spans="8:9">
      <c r="H94" s="1" t="s">
        <v>917</v>
      </c>
      <c r="I94" s="1">
        <v>7</v>
      </c>
    </row>
    <row r="95" spans="8:9">
      <c r="H95" s="1" t="s">
        <v>883</v>
      </c>
      <c r="I95" s="1">
        <v>6</v>
      </c>
    </row>
    <row r="96" spans="8:9">
      <c r="H96" s="1" t="s">
        <v>909</v>
      </c>
      <c r="I96" s="1">
        <v>5</v>
      </c>
    </row>
    <row r="97" spans="8:9">
      <c r="H97" s="1" t="s">
        <v>920</v>
      </c>
      <c r="I97" s="1">
        <v>5</v>
      </c>
    </row>
    <row r="98" spans="8:9">
      <c r="H98" s="1" t="s">
        <v>921</v>
      </c>
      <c r="I98" s="1">
        <v>5</v>
      </c>
    </row>
    <row r="99" spans="8:9">
      <c r="H99" s="1" t="s">
        <v>952</v>
      </c>
      <c r="I99" s="1">
        <v>4</v>
      </c>
    </row>
    <row r="100" spans="8:9">
      <c r="H100" s="1" t="s">
        <v>884</v>
      </c>
      <c r="I100" s="1">
        <v>4</v>
      </c>
    </row>
    <row r="101" spans="8:9">
      <c r="H101" s="1" t="s">
        <v>899</v>
      </c>
      <c r="I101" s="1">
        <v>4</v>
      </c>
    </row>
    <row r="102" spans="8:9">
      <c r="H102" s="1" t="s">
        <v>955</v>
      </c>
      <c r="I102" s="1">
        <v>4</v>
      </c>
    </row>
    <row r="103" spans="8:9">
      <c r="H103" s="1" t="s">
        <v>924</v>
      </c>
      <c r="I103" s="1">
        <v>4</v>
      </c>
    </row>
    <row r="104" spans="8:9">
      <c r="H104" s="1" t="s">
        <v>825</v>
      </c>
      <c r="I104" s="1">
        <v>4</v>
      </c>
    </row>
    <row r="105" spans="8:9">
      <c r="H105" s="1" t="s">
        <v>931</v>
      </c>
      <c r="I105" s="1">
        <v>4</v>
      </c>
    </row>
    <row r="106" spans="8:9">
      <c r="H106" s="1" t="s">
        <v>903</v>
      </c>
      <c r="I106" s="1">
        <v>4</v>
      </c>
    </row>
    <row r="107" spans="8:9">
      <c r="H107" s="1" t="s">
        <v>886</v>
      </c>
      <c r="I107" s="1">
        <v>4</v>
      </c>
    </row>
    <row r="108" spans="8:9">
      <c r="H108" s="1" t="s">
        <v>923</v>
      </c>
      <c r="I108" s="1">
        <v>4</v>
      </c>
    </row>
    <row r="109" spans="8:9">
      <c r="H109" s="1" t="s">
        <v>907</v>
      </c>
      <c r="I109" s="1">
        <v>3</v>
      </c>
    </row>
    <row r="110" spans="8:9">
      <c r="H110" s="1" t="s">
        <v>915</v>
      </c>
      <c r="I110" s="1">
        <v>3</v>
      </c>
    </row>
    <row r="111" spans="8:9">
      <c r="H111" s="1" t="s">
        <v>954</v>
      </c>
      <c r="I111" s="1">
        <v>3</v>
      </c>
    </row>
    <row r="112" spans="8:9">
      <c r="H112" s="1" t="s">
        <v>927</v>
      </c>
      <c r="I112" s="1">
        <v>3</v>
      </c>
    </row>
    <row r="113" spans="8:9">
      <c r="H113" s="1" t="s">
        <v>908</v>
      </c>
      <c r="I113" s="1">
        <v>3</v>
      </c>
    </row>
    <row r="114" spans="8:9">
      <c r="H114" s="1" t="s">
        <v>935</v>
      </c>
      <c r="I114" s="1">
        <v>3</v>
      </c>
    </row>
    <row r="115" spans="8:9">
      <c r="H115" s="1" t="s">
        <v>925</v>
      </c>
      <c r="I115" s="1">
        <v>3</v>
      </c>
    </row>
    <row r="116" spans="8:9">
      <c r="H116" s="1" t="s">
        <v>906</v>
      </c>
      <c r="I116" s="1">
        <v>3</v>
      </c>
    </row>
    <row r="117" spans="8:9">
      <c r="H117" s="1" t="s">
        <v>937</v>
      </c>
      <c r="I117" s="1">
        <v>3</v>
      </c>
    </row>
    <row r="118" spans="8:9">
      <c r="H118" s="1" t="s">
        <v>948</v>
      </c>
      <c r="I118" s="1">
        <v>2</v>
      </c>
    </row>
    <row r="119" spans="8:9">
      <c r="H119" s="1" t="s">
        <v>891</v>
      </c>
      <c r="I119" s="1">
        <v>2</v>
      </c>
    </row>
    <row r="120" spans="8:9">
      <c r="H120" s="1" t="s">
        <v>962</v>
      </c>
      <c r="I120" s="1">
        <v>2</v>
      </c>
    </row>
    <row r="121" spans="8:9">
      <c r="H121" s="1" t="s">
        <v>930</v>
      </c>
      <c r="I121" s="1">
        <v>2</v>
      </c>
    </row>
    <row r="122" spans="8:9">
      <c r="H122" s="1" t="s">
        <v>936</v>
      </c>
      <c r="I122" s="1">
        <v>2</v>
      </c>
    </row>
    <row r="123" spans="8:9">
      <c r="H123" s="1" t="s">
        <v>939</v>
      </c>
      <c r="I123" s="1">
        <v>2</v>
      </c>
    </row>
    <row r="124" spans="8:9">
      <c r="H124" s="1" t="s">
        <v>919</v>
      </c>
      <c r="I124" s="1">
        <v>2</v>
      </c>
    </row>
    <row r="125" spans="8:9">
      <c r="H125" s="1" t="s">
        <v>942</v>
      </c>
      <c r="I125" s="1">
        <v>2</v>
      </c>
    </row>
    <row r="126" spans="8:9">
      <c r="H126" s="1" t="s">
        <v>918</v>
      </c>
      <c r="I126" s="1">
        <v>2</v>
      </c>
    </row>
    <row r="127" spans="8:9">
      <c r="H127" s="1" t="s">
        <v>904</v>
      </c>
      <c r="I127" s="1">
        <v>2</v>
      </c>
    </row>
    <row r="128" spans="8:9">
      <c r="H128" s="1" t="s">
        <v>1097</v>
      </c>
      <c r="I128" s="1">
        <v>2</v>
      </c>
    </row>
    <row r="129" spans="8:9">
      <c r="H129" s="1" t="s">
        <v>957</v>
      </c>
      <c r="I129" s="1">
        <v>1</v>
      </c>
    </row>
    <row r="130" spans="8:9">
      <c r="H130" s="1" t="s">
        <v>958</v>
      </c>
      <c r="I130" s="1">
        <v>1</v>
      </c>
    </row>
    <row r="131" spans="8:9">
      <c r="H131" s="1" t="s">
        <v>946</v>
      </c>
      <c r="I131" s="1">
        <v>1</v>
      </c>
    </row>
    <row r="132" spans="8:9">
      <c r="H132" s="1" t="s">
        <v>960</v>
      </c>
      <c r="I132" s="1">
        <v>1</v>
      </c>
    </row>
    <row r="133" spans="8:9">
      <c r="H133" s="1" t="s">
        <v>910</v>
      </c>
      <c r="I133" s="1">
        <v>1</v>
      </c>
    </row>
    <row r="134" spans="8:9">
      <c r="H134" s="1" t="s">
        <v>911</v>
      </c>
      <c r="I134" s="1">
        <v>1</v>
      </c>
    </row>
    <row r="135" spans="8:9">
      <c r="H135" s="1" t="s">
        <v>882</v>
      </c>
      <c r="I135" s="1">
        <v>1</v>
      </c>
    </row>
    <row r="136" spans="8:9">
      <c r="H136" s="1" t="s">
        <v>941</v>
      </c>
      <c r="I136" s="1">
        <v>1</v>
      </c>
    </row>
    <row r="137" spans="8:9">
      <c r="H137" s="1" t="s">
        <v>964</v>
      </c>
      <c r="I137" s="1">
        <v>1</v>
      </c>
    </row>
    <row r="138" spans="8:9">
      <c r="H138" s="1" t="s">
        <v>951</v>
      </c>
      <c r="I138" s="1">
        <v>1</v>
      </c>
    </row>
    <row r="139" spans="8:9">
      <c r="H139" s="1" t="s">
        <v>950</v>
      </c>
      <c r="I139" s="1">
        <v>1</v>
      </c>
    </row>
    <row r="140" spans="8:9">
      <c r="H140" s="1" t="s">
        <v>945</v>
      </c>
      <c r="I140" s="1">
        <v>1</v>
      </c>
    </row>
    <row r="141" spans="8:9">
      <c r="H141" s="1" t="s">
        <v>1050</v>
      </c>
      <c r="I141" s="1">
        <v>1</v>
      </c>
    </row>
    <row r="142" spans="8:9">
      <c r="H142" s="1" t="s">
        <v>956</v>
      </c>
      <c r="I142" s="1">
        <v>1</v>
      </c>
    </row>
    <row r="143" spans="8:9">
      <c r="H143" s="1" t="s">
        <v>953</v>
      </c>
      <c r="I143" s="1">
        <v>1</v>
      </c>
    </row>
    <row r="144" spans="8:9">
      <c r="H144" s="1" t="s">
        <v>944</v>
      </c>
      <c r="I144" s="1">
        <v>1</v>
      </c>
    </row>
    <row r="145" spans="8:9">
      <c r="H145" s="1" t="s">
        <v>916</v>
      </c>
      <c r="I145" s="1">
        <v>1</v>
      </c>
    </row>
    <row r="146" spans="8:9">
      <c r="H146" s="1" t="s">
        <v>863</v>
      </c>
      <c r="I146" s="1">
        <v>1</v>
      </c>
    </row>
    <row r="147" spans="8:9">
      <c r="H147" s="1" t="s">
        <v>963</v>
      </c>
      <c r="I147" s="1">
        <v>1</v>
      </c>
    </row>
    <row r="148" spans="8:9">
      <c r="H148" s="1" t="s">
        <v>940</v>
      </c>
      <c r="I148" s="1">
        <v>1</v>
      </c>
    </row>
    <row r="149" spans="8:9">
      <c r="H149" s="1" t="s">
        <v>932</v>
      </c>
      <c r="I149" s="1">
        <v>1</v>
      </c>
    </row>
    <row r="150" spans="8:9">
      <c r="H150" s="1" t="s">
        <v>929</v>
      </c>
      <c r="I150" s="1">
        <v>1</v>
      </c>
    </row>
    <row r="151" spans="8:9">
      <c r="H151" s="1" t="s">
        <v>934</v>
      </c>
      <c r="I151" s="1">
        <v>1</v>
      </c>
    </row>
    <row r="152" spans="8:9">
      <c r="H152" s="1" t="s">
        <v>961</v>
      </c>
      <c r="I152" s="1">
        <v>1</v>
      </c>
    </row>
    <row r="153" spans="8:9">
      <c r="H153" s="1" t="s">
        <v>959</v>
      </c>
      <c r="I153" s="1">
        <v>1</v>
      </c>
    </row>
  </sheetData>
  <mergeCells count="2">
    <mergeCell ref="A1:H1"/>
    <mergeCell ref="K3:L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2026-09-02T14:12:22Z</dcterms:created>
  <dcterms:modified xsi:type="dcterms:W3CDTF">2026-09-05T11:31:47Z</dcterms:modified>
  <cp:category/>
  <cp:contentStatus/>
</cp:coreProperties>
</file>